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e5dc2158114f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프로젝트_통합" sheetId="1" r:id="R5a43b7f30f7e4fd1"/>
    <x:sheet xmlns:r="http://schemas.openxmlformats.org/officeDocument/2006/relationships" name="작성_가이드" sheetId="2" r:id="R0ba10b21d9514470"/>
    <x:sheet xmlns:r="http://schemas.openxmlformats.org/officeDocument/2006/relationships" name="태그_목록" sheetId="3" r:id="Raaf5a8bbd8494b7b"/>
    <x:sheet xmlns:r="http://schemas.openxmlformats.org/officeDocument/2006/relationships" name="노출_요약" sheetId="4" r:id="R3320c4f1fe3a48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0">
    <x:font>
      <x:sz val="11"/>
      <x:name val="Carlito"/>
    </x:font>
    <x:font>
      <x:b/>
      <x:sz val="11"/>
      <x:color rgb="FF404040"/>
      <x:name val="Carlito"/>
    </x:font>
    <x:font>
      <x:b/>
      <x:sz val="11"/>
      <x:color rgb="FF173A5E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555555"/>
      <x:name val="Carlito"/>
    </x:font>
    <x:font>
      <x:b/>
      <x:sz val="11"/>
      <x:color rgb="FF18345F"/>
      <x:name val="Carlito"/>
    </x:font>
    <x:font>
      <x:b/>
      <x:sz val="11"/>
      <x:color rgb="FF1D4ED8"/>
      <x:name val="Carlito"/>
    </x:font>
    <x:font>
      <x:i/>
      <x:sz val="11"/>
      <x:color rgb="FF43526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FFF8E7"/>
      </x:patternFill>
    </x:fill>
    <x:fill>
      <x:patternFill patternType="solid">
        <x:fgColor rgb="FF1F4E78"/>
      </x:patternFill>
    </x:fill>
    <x:fill>
      <x:patternFill patternType="solid">
        <x:fgColor rgb="FFF3F7FA"/>
      </x:patternFill>
    </x:fill>
    <x:fill>
      <x:patternFill patternType="solid">
        <x:fgColor rgb="FFF5F5F5"/>
      </x:patternFill>
    </x:fill>
    <x:fill>
      <x:patternFill patternType="solid">
        <x:fgColor rgb="FF1D4ED8"/>
      </x:patternFill>
    </x:fill>
    <x:fill>
      <x:patternFill patternType="solid">
        <x:fgColor rgb="FFEAF1FF"/>
      </x:patternFill>
    </x:fill>
    <x:fill>
      <x:patternFill patternType="solid">
        <x:fgColor rgb="FFF5F8FF"/>
      </x:patternFill>
    </x:fill>
  </x:fills>
  <x:borders count="18">
    <x:border/>
    <x:border>
      <x:left style="thin">
        <x:color rgb="FF173A5E"/>
      </x:left>
      <x:top style="thin">
        <x:color rgb="FF173A5E"/>
      </x:top>
      <x:bottom style="thin">
        <x:color rgb="FF173A5E"/>
      </x:bottom>
    </x:border>
    <x:border>
      <x:top style="thin">
        <x:color rgb="FF173A5E"/>
      </x:top>
      <x:bottom style="thin">
        <x:color rgb="FF173A5E"/>
      </x:bottom>
    </x:border>
    <x:border>
      <x:right style="thin">
        <x:color rgb="FF173A5E"/>
      </x:right>
      <x:top style="thin">
        <x:color rgb="FF173A5E"/>
      </x:top>
      <x:bottom style="thin">
        <x:color rgb="FF173A5E"/>
      </x:bottom>
    </x:border>
    <x:border>
      <x:left style="thin">
        <x:color rgb="FFD6E0EA"/>
      </x:left>
      <x:right style="thin">
        <x:color rgb="FFD6E0EA"/>
      </x:right>
      <x:top style="thin">
        <x:color rgb="FFD6E0EA"/>
      </x:top>
      <x:bottom style="thin">
        <x:color rgb="FFD6E0EA"/>
      </x:bottom>
    </x:border>
    <x:border>
      <x:left style="thin">
        <x:color rgb="FFAFC3D6"/>
      </x:left>
      <x:top style="thin">
        <x:color rgb="FFAFC3D6"/>
      </x:top>
      <x:bottom style="thin">
        <x:color rgb="FFAFC3D6"/>
      </x:bottom>
    </x:border>
    <x:border>
      <x:top style="thin">
        <x:color rgb="FFAFC3D6"/>
      </x:top>
      <x:bottom style="thin">
        <x:color rgb="FFAFC3D6"/>
      </x:bottom>
    </x:border>
    <x:border>
      <x:right style="thin">
        <x:color rgb="FFAFC3D6"/>
      </x:right>
      <x:top style="thin">
        <x:color rgb="FFAFC3D6"/>
      </x:top>
      <x:bottom style="thin">
        <x:color rgb="FFAFC3D6"/>
      </x:bottom>
    </x:border>
    <x:border>
      <x:left style="thin">
        <x:color rgb="FFD6E0EA"/>
      </x:left>
      <x:right style="thin">
        <x:color rgb="FFD6E2FA"/>
      </x:right>
      <x:top style="thin">
        <x:color rgb="FFD6E0EA"/>
      </x:top>
      <x:bottom style="thin">
        <x:color rgb="FFD6E2FA"/>
      </x:bottom>
    </x:border>
    <x:border>
      <x:left style="thin">
        <x:color rgb="FFD6E2FA"/>
      </x:left>
      <x:right style="thin">
        <x:color rgb="FFD6E2FA"/>
      </x:right>
      <x:top style="thin">
        <x:color rgb="FFD6E0EA"/>
      </x:top>
      <x:bottom style="thin">
        <x:color rgb="FFD6E2FA"/>
      </x:bottom>
    </x:border>
    <x:border>
      <x:left style="thin">
        <x:color rgb="FFD6E2FA"/>
      </x:left>
      <x:right style="thin">
        <x:color rgb="FFD6E0EA"/>
      </x:right>
      <x:top style="thin">
        <x:color rgb="FFD6E0EA"/>
      </x:top>
      <x:bottom style="thin">
        <x:color rgb="FFD6E2FA"/>
      </x:bottom>
    </x:border>
    <x:border>
      <x:left style="thin">
        <x:color rgb="FFD6E0EA"/>
      </x:left>
      <x:right style="thin">
        <x:color rgb="FFD6E2FA"/>
      </x:right>
      <x:top style="thin">
        <x:color rgb="FFD6E2FA"/>
      </x:top>
      <x:bottom style="thin">
        <x:color rgb="FFD6E2FA"/>
      </x:bottom>
    </x:border>
    <x:border>
      <x:left style="thin">
        <x:color rgb="FFD6E2FA"/>
      </x:left>
      <x:right style="thin">
        <x:color rgb="FFD6E2FA"/>
      </x:right>
      <x:top style="thin">
        <x:color rgb="FFD6E2FA"/>
      </x:top>
      <x:bottom style="thin">
        <x:color rgb="FFD6E2FA"/>
      </x:bottom>
    </x:border>
    <x:border>
      <x:left style="thin">
        <x:color rgb="FFD6E2FA"/>
      </x:left>
      <x:right style="thin">
        <x:color rgb="FFD6E0EA"/>
      </x:right>
      <x:top style="thin">
        <x:color rgb="FFD6E2FA"/>
      </x:top>
      <x:bottom style="thin">
        <x:color rgb="FFD6E2FA"/>
      </x:bottom>
    </x:border>
    <x:border>
      <x:left style="thin">
        <x:color rgb="FFD6E0EA"/>
      </x:left>
      <x:right style="thin">
        <x:color rgb="FFD6E2FA"/>
      </x:right>
      <x:top style="thin">
        <x:color rgb="FFD6E2FA"/>
      </x:top>
      <x:bottom style="thin">
        <x:color rgb="FFD6E0EA"/>
      </x:bottom>
    </x:border>
    <x:border>
      <x:left style="thin">
        <x:color rgb="FFD6E2FA"/>
      </x:left>
      <x:right style="thin">
        <x:color rgb="FFD6E2FA"/>
      </x:right>
      <x:top style="thin">
        <x:color rgb="FFD6E2FA"/>
      </x:top>
      <x:bottom style="thin">
        <x:color rgb="FFD6E0EA"/>
      </x:bottom>
    </x:border>
    <x:border>
      <x:left style="thin">
        <x:color rgb="FFD6E2FA"/>
      </x:left>
      <x:right style="thin">
        <x:color rgb="FFD6E0EA"/>
      </x:right>
      <x:top style="thin">
        <x:color rgb="FFD6E2FA"/>
      </x:top>
      <x:bottom style="thin">
        <x:color rgb="FFD6E0EA"/>
      </x:bottom>
    </x:border>
    <x:border>
      <x:left style="thin">
        <x:color rgb="FFBFD2FF"/>
      </x:left>
      <x:right style="thin">
        <x:color rgb="FFBFD2FF"/>
      </x:right>
      <x:top style="thin">
        <x:color rgb="FFBFD2FF"/>
      </x:top>
      <x:bottom style="thin">
        <x:color rgb="FFBFD2FF"/>
      </x:bottom>
    </x:border>
  </x:borders>
  <x:cellStyleXfs count="1">
    <x:xf numFmtId="0" fontId="0" fillId="0" borderId="0"/>
  </x:cellStyleXfs>
  <x:cellXfs count="1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4" borderId="4" xfId="0" applyNumberFormat="1" applyFont="1" applyFill="1" applyBorder="1" applyAlignment="1">
      <x:alignment vertical="top" wrapText="1"/>
    </x:xf>
    <x:xf numFmtId="200" fontId="0" fillId="4" borderId="4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4" borderId="4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200" fontId="0" fillId="7" borderId="0" xfId="0" applyNumberFormat="1" applyFont="1" applyFill="1" applyBorder="1" applyAlignment="1">
      <x:alignment vertical="top" wrapText="1"/>
    </x:xf>
    <x:xf numFmtId="201" fontId="0" fillId="7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200" fontId="6" fillId="7" borderId="0" xfId="0" applyNumberFormat="1" applyFont="1" applyFill="1" applyBorder="1" applyAlignment="1">
      <x:alignment vertical="top" wrapText="1"/>
    </x:xf>
    <x:xf numFmtId="201" fontId="6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5" fillId="8" borderId="9" xfId="0" applyNumberFormat="1" applyFont="1" applyFill="1" applyBorder="1" applyAlignment="1">
      <x:alignment horizontal="center" vertical="center" wrapText="1"/>
    </x:xf>
    <x:xf numFmtId="0" fontId="5" fillId="8" borderId="10" xfId="0" applyNumberFormat="1" applyFont="1" applyFill="1" applyBorder="1" applyAlignment="1">
      <x:alignment horizontal="center" vertical="center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  <x:xf numFmtId="200" fontId="0" fillId="4" borderId="12" xfId="0" applyNumberFormat="1" applyFont="1" applyFill="1" applyBorder="1" applyAlignment="1">
      <x:alignment vertical="top" wrapText="1"/>
    </x:xf>
    <x:xf numFmtId="201" fontId="0" fillId="4" borderId="12" xfId="0" applyNumberFormat="1" applyFont="1" applyFill="1" applyBorder="1" applyAlignment="1">
      <x:alignment vertical="top" wrapText="1"/>
    </x:xf>
    <x:xf numFmtId="201" fontId="0" fillId="0" borderId="12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200" fontId="0" fillId="0" borderId="12" xfId="0" applyNumberFormat="1" applyFont="1" applyFill="1" applyBorder="1" applyAlignment="1">
      <x:alignment vertical="top" wrapText="1"/>
    </x:xf>
    <x:xf numFmtId="201" fontId="0" fillId="0" borderId="12" xfId="0" applyNumberFormat="1" applyFont="1" applyFill="1" applyBorder="1" applyAlignment="1">
      <x:alignment vertical="top" wrapText="1"/>
    </x:xf>
    <x:xf numFmtId="0" fontId="6" fillId="7" borderId="11" xfId="0" applyNumberFormat="1" applyFont="1" applyFill="1" applyBorder="1" applyAlignment="1">
      <x:alignment vertical="top" wrapText="1"/>
    </x:xf>
    <x:xf numFmtId="0" fontId="6" fillId="7" borderId="12" xfId="0" applyNumberFormat="1" applyFont="1" applyFill="1" applyBorder="1" applyAlignment="1">
      <x:alignment vertical="top" wrapText="1"/>
    </x:xf>
    <x:xf numFmtId="200" fontId="6" fillId="7" borderId="12" xfId="0" applyNumberFormat="1" applyFont="1" applyFill="1" applyBorder="1" applyAlignment="1">
      <x:alignment vertical="top" wrapText="1"/>
    </x:xf>
    <x:xf numFmtId="201" fontId="6" fillId="7" borderId="12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1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left"/>
    </x:xf>
    <x:xf numFmtId="0" fontId="3" fillId="8" borderId="0" xfId="0" applyNumberFormat="1" applyFont="1" applyFill="1" applyBorder="1" applyAlignment="1">
      <x:alignment horizontal="left" vertical="center"/>
    </x:xf>
    <x:xf numFmtId="0" fontId="0" fillId="0" borderId="17" xfId="0" applyNumberFormat="1" applyFont="1" applyFill="1" applyBorder="1"/>
    <x:xf numFmtId="0" fontId="0" fillId="9" borderId="17" xfId="0" applyNumberFormat="1" applyFont="1" applyFill="1" applyBorder="1"/>
    <x:xf numFmtId="0" fontId="7" fillId="9" borderId="17" xfId="0" applyNumberFormat="1" applyFont="1" applyFill="1" applyBorder="1"/>
    <x:xf numFmtId="0" fontId="8" fillId="0" borderId="17" xfId="0" applyNumberFormat="1" applyFont="1" applyFill="1" applyBorder="1"/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/>
    <x:xf numFmtId="0" fontId="8" fillId="0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28f232681d49b0" /><Relationship Type="http://schemas.openxmlformats.org/officeDocument/2006/relationships/theme" Target="/xl/theme/theme1.xml" Id="Rdc151d5bb22f48f0" /><Relationship Type="http://schemas.openxmlformats.org/officeDocument/2006/relationships/sharedStrings" Target="/xl/sharedStrings.xml" Id="R39c0e0d3fd864442" /><Relationship Type="http://schemas.openxmlformats.org/officeDocument/2006/relationships/worksheet" Target="/xl/worksheets/sheet1.xml" Id="R5a43b7f30f7e4fd1" /><Relationship Type="http://schemas.openxmlformats.org/officeDocument/2006/relationships/worksheet" Target="/xl/worksheets/sheet2.xml" Id="R0ba10b21d9514470" /><Relationship Type="http://schemas.openxmlformats.org/officeDocument/2006/relationships/worksheet" Target="/xl/worksheets/sheet3.xml" Id="Raaf5a8bbd8494b7b" /><Relationship Type="http://schemas.openxmlformats.org/officeDocument/2006/relationships/worksheet" Target="/xl/worksheets/sheet4.xml" Id="R3320c4f1fe3a4844" /></Relationships>
</file>

<file path=xl/tables/table1.xml><?xml version="1.0" encoding="utf-8"?>
<x:table xmlns:x="http://schemas.openxmlformats.org/spreadsheetml/2006/main" id="1" name="ProjectIntakeTable" displayName="ProjectIntakeTable" ref="A1:U2" headerRowCount="1">
  <x:autoFilter ref="A1:U2"/>
  <x:tableColumns count="21">
    <x:tableColumn id="1" name="프로젝트키"/>
    <x:tableColumn id="2" name="구분"/>
    <x:tableColumn id="3" name="프로젝트명"/>
    <x:tableColumn id="4" name="진행상태"/>
    <x:tableColumn id="5" name="시작일"/>
    <x:tableColumn id="6" name="종료일"/>
    <x:tableColumn id="7" name="기간표시"/>
    <x:tableColumn id="8" name="핵심내용"/>
    <x:tableColumn id="9" name="학생이 한 활동"/>
    <x:tableColumn id="10" name="주요 결과물"/>
    <x:tableColumn id="11" name="대표트랙"/>
    <x:tableColumn id="12" name="보조트랙"/>
    <x:tableColumn id="13" name="관심태그"/>
    <x:tableColumn id="14" name="연계문구"/>
    <x:tableColumn id="15" name="참여기관·장소"/>
    <x:tableColumn id="16" name="관련교수"/>
    <x:tableColumn id="17" name="출처페이지명"/>
    <x:tableColumn id="18" name="출처URL"/>
    <x:tableColumn id="19" name="출처확인일"/>
    <x:tableColumn id="20" name="검증메모"/>
    <x:tableColumn id="21" name="우선순위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21128e5c0a4d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34" hidden="0" customWidth="1"/>
    <x:col min="4" max="4" width="12" hidden="0" customWidth="1"/>
    <x:col min="5" max="5" width="13" hidden="0" customWidth="1"/>
    <x:col min="6" max="6" width="13" hidden="0" customWidth="1"/>
    <x:col min="7" max="7" width="22" hidden="0" customWidth="1"/>
    <x:col min="8" max="8" width="38" hidden="0" customWidth="1"/>
    <x:col min="9" max="9" width="38" hidden="0" customWidth="1"/>
    <x:col min="10" max="10" width="38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32" hidden="0" customWidth="1"/>
    <x:col min="19" max="19" width="14" hidden="0" customWidth="1"/>
    <x:col min="20" max="20" width="45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 ht="34" customHeight="1">
      <x:c r="A1" s="71" t="str">
        <x:v>프로젝트키</x:v>
      </x:c>
      <x:c r="B1" s="72" t="str">
        <x:v>구분</x:v>
      </x:c>
      <x:c r="C1" s="72" t="str">
        <x:v>프로젝트명</x:v>
      </x:c>
      <x:c r="D1" s="72" t="str">
        <x:v>진행상태</x:v>
      </x:c>
      <x:c r="E1" s="73" t="str">
        <x:v>시작일</x:v>
      </x:c>
      <x:c r="F1" s="73" t="str">
        <x:v>종료일</x:v>
      </x:c>
      <x:c r="G1" s="72" t="str">
        <x:v>기간표시</x:v>
      </x:c>
      <x:c r="H1" s="72" t="str">
        <x:v>핵심내용</x:v>
      </x:c>
      <x:c r="I1" s="72" t="str">
        <x:v>학생이 한 활동</x:v>
      </x:c>
      <x:c r="J1" s="73" t="str">
        <x:v>주요 결과물</x:v>
      </x:c>
      <x:c r="K1" s="72" t="str">
        <x:v>대표트랙</x:v>
      </x:c>
      <x:c r="L1" s="73" t="str">
        <x:v>보조트랙</x:v>
      </x:c>
      <x:c r="M1" s="72" t="str">
        <x:v>관심태그</x:v>
      </x:c>
      <x:c r="N1" s="73" t="str">
        <x:v>연계문구</x:v>
      </x:c>
      <x:c r="O1" s="73" t="str">
        <x:v>참여기관·장소</x:v>
      </x:c>
      <x:c r="P1" s="73" t="str">
        <x:v>관련교수</x:v>
      </x:c>
      <x:c r="Q1" s="72" t="str">
        <x:v>출처페이지명</x:v>
      </x:c>
      <x:c r="R1" s="72" t="str">
        <x:v>출처URL</x:v>
      </x:c>
      <x:c r="S1" s="72" t="str">
        <x:v>출처확인일</x:v>
      </x:c>
      <x:c r="T1" s="72" t="str">
        <x:v>검증메모</x:v>
      </x:c>
      <x:c r="U1" s="73" t="str">
        <x:v>우선순위</x:v>
      </x:c>
      <x:c r="V1" s="74" t="str">
        <x:v>사업연도</x:v>
      </x:c>
      <x:c r="W1" s="74" t="str">
        <x:v>노출단계</x:v>
      </x:c>
      <x:c r="X1" s="74" t="str">
        <x:v>사업그룹</x:v>
      </x:c>
      <x:c r="Y1" s="74" t="str">
        <x:v>운영학기</x:v>
      </x:c>
      <x:c r="Z1" s="75" t="str">
        <x:v>표시분류</x:v>
      </x:c>
    </x:row>
    <x:row r="2" ht="34" customHeight="1">
      <x:c r="A2" s="76" t="str">
        <x:v>photo_next_2026_projection_mapping_acc</x:v>
      </x:c>
      <x:c r="B2" s="77" t="str">
        <x:v>전문가강좌</x:v>
      </x:c>
      <x:c r="C2" s="77" t="str">
        <x:v>프로젝션 매핑 집중교육</x:v>
      </x:c>
      <x:c r="D2" s="77" t="str">
        <x:v>예정</x:v>
      </x:c>
      <x:c r="E2" s="78"/>
      <x:c r="F2" s="78"/>
      <x:c r="G2" s="77" t="str">
        <x:v>2026년 1학기 · 30시간</x:v>
      </x:c>
      <x:c r="H2" s="77" t="str">
        <x:v>국립아시아문화전당과 연계해 프로젝션 매핑의 기획부터 제작까지 30시간 실습으로 진행하는 프로그램입니다.</x:v>
      </x:c>
      <x:c r="I2" s="77" t="str">
        <x:v>공간 조사, 영상·이미지 제작, 프로젝션 매핑 기획과 설치 실습</x:v>
      </x:c>
      <x:c r="J2" s="77" t="str">
        <x:v>프로젝션 매핑 시안과 공간 기반 영상 결과물</x:v>
      </x:c>
      <x:c r="K2" s="77" t="str">
        <x:v>art_photo</x:v>
      </x:c>
      <x:c r="L2" s="77" t="str">
        <x:v>video</x:v>
      </x:c>
      <x:c r="M2" s="77" t="str">
        <x:v>media_art;installation;digital_image;planning;production;exhibition</x:v>
      </x:c>
      <x:c r="N2" s="77" t="str">
        <x:v>공간과 이미지를 결합해 전시형 미디어 작업으로 확장하는 경험</x:v>
      </x:c>
      <x:c r="O2" s="77" t="str">
        <x:v>국립아시아문화전당</x:v>
      </x:c>
      <x:c r="P2" s="77" t="str">
        <x:v>김사라</x:v>
      </x:c>
      <x:c r="Q2" s="77" t="str">
        <x:v>K-컬처리딩센터 3+1 전략 기반 학과별 세부프로그램 수요조사서</x:v>
      </x:c>
      <x:c r="R2" s="77" t="str"/>
      <x:c r="S2" s="78" t="n">
        <x:v>46222</x:v>
      </x:c>
      <x:c r="T2" s="77" t="str">
        <x:v>사용자 제공 수요조사 화면 기준입니다. 실제 일정과 운영 여부는 학과 확인이 필요합니다.</x:v>
      </x:c>
      <x:c r="U2" s="79" t="n">
        <x:v>200</x:v>
      </x:c>
      <x:c r="V2" s="80" t="n">
        <x:v>2026</x:v>
      </x:c>
      <x:c r="W2" s="81" t="str">
        <x:v>현재_우선</x:v>
      </x:c>
      <x:c r="X2" s="81" t="str">
        <x:v>K-컬처리딩센터</x:v>
      </x:c>
      <x:c r="Y2" s="81" t="str">
        <x:v>1학기 · 30시간</x:v>
      </x:c>
      <x:c r="Z2" s="82" t="str">
        <x:v>메인프로젝트</x:v>
      </x:c>
    </x:row>
    <x:row r="3" ht="34" customHeight="1">
      <x:c r="A3" s="83" t="str">
        <x:v>photo_next_2026_fieldtrip_busan</x:v>
      </x:c>
      <x:c r="B3" s="84" t="str">
        <x:v>현장탐방</x:v>
      </x:c>
      <x:c r="C3" s="84" t="str">
        <x:v>K-컬처 기관탐방: 부산 금정문화회관·금샘미술관</x:v>
      </x:c>
      <x:c r="D3" s="84" t="str">
        <x:v>예정</x:v>
      </x:c>
      <x:c r="E3" s="85"/>
      <x:c r="F3" s="85"/>
      <x:c r="G3" s="84" t="str">
        <x:v>2026년 1학기</x:v>
      </x:c>
      <x:c r="H3" s="84" t="str">
        <x:v>문화기관의 전시와 운영 방식을 현장에서 살피며 사진·영상 작업의 발표 환경을 이해하는 기관탐방입니다.</x:v>
      </x:c>
      <x:c r="I3" s="84" t="str">
        <x:v>기관 리서치, 전시 관람, 현장 기록과 운영 방식 조사</x:v>
      </x:c>
      <x:c r="J3" s="84" t="str">
        <x:v>기관 리서치 노트와 현장 기록</x:v>
      </x:c>
      <x:c r="K3" s="84" t="str">
        <x:v>art_photo</x:v>
      </x:c>
      <x:c r="L3" s="84" t="str">
        <x:v>documentary</x:v>
      </x:c>
      <x:c r="M3" s="84" t="str">
        <x:v>cultural_institution;exhibition;research;field;photography</x:v>
      </x:c>
      <x:c r="N3" s="84" t="str">
        <x:v>문화기관의 전시와 기록 방식을 자신의 작업 기획으로 연결하는 경험</x:v>
      </x:c>
      <x:c r="O3" s="84" t="str">
        <x:v>부산 금정문화회관·금샘미술관</x:v>
      </x:c>
      <x:c r="P3" s="84" t="str">
        <x:v>김사라</x:v>
      </x:c>
      <x:c r="Q3" s="84" t="str">
        <x:v>K-컬처리딩센터 3+1 전략 기반 학과별 세부프로그램 수요조사서</x:v>
      </x:c>
      <x:c r="R3" s="84" t="str"/>
      <x:c r="S3" s="85" t="n">
        <x:v>46222</x:v>
      </x:c>
      <x:c r="T3" s="84" t="str">
        <x:v>사용자 제공 수요조사 화면 기준입니다. 실제 일정과 운영 여부는 학과 확인이 필요합니다.</x:v>
      </x:c>
      <x:c r="U3" s="86" t="n">
        <x:v>200</x:v>
      </x:c>
      <x:c r="V3" s="80" t="n">
        <x:v>2026</x:v>
      </x:c>
      <x:c r="W3" s="81" t="str">
        <x:v>현재_우선</x:v>
      </x:c>
      <x:c r="X3" s="81" t="str">
        <x:v>K-컬처리딩센터</x:v>
      </x:c>
      <x:c r="Y3" s="81" t="str">
        <x:v>1학기</x:v>
      </x:c>
      <x:c r="Z3" s="82" t="str">
        <x:v>메인프로젝트</x:v>
      </x:c>
    </x:row>
    <x:row r="4" ht="34" customHeight="1">
      <x:c r="A4" s="83" t="str">
        <x:v>photo_next_2026_fieldtrip_518_archive</x:v>
      </x:c>
      <x:c r="B4" s="84" t="str">
        <x:v>현장탐방</x:v>
      </x:c>
      <x:c r="C4" s="84" t="str">
        <x:v>K-컬처 기관탐방: 5·18민주화운동기록관·전일빌딩245</x:v>
      </x:c>
      <x:c r="D4" s="84" t="str">
        <x:v>예정</x:v>
      </x:c>
      <x:c r="E4" s="85"/>
      <x:c r="F4" s="85"/>
      <x:c r="G4" s="84" t="str">
        <x:v>2026년 1학기</x:v>
      </x:c>
      <x:c r="H4" s="84" t="str">
        <x:v>광주의 역사적 장소와 기록기관을 방문해 공공 아카이브와 사진·영상 기록의 역할을 살피는 프로그램입니다.</x:v>
      </x:c>
      <x:c r="I4" s="84" t="str">
        <x:v>기관 리서치, 기록물 관찰, 장소 조사와 현장 기록</x:v>
      </x:c>
      <x:c r="J4" s="84" t="str">
        <x:v>지역 기록 리서치와 사진·영상 기록 시안</x:v>
      </x:c>
      <x:c r="K4" s="84" t="str">
        <x:v>documentary</x:v>
      </x:c>
      <x:c r="L4" s="84" t="str">
        <x:v>art_photo</x:v>
      </x:c>
      <x:c r="M4" s="84" t="str">
        <x:v>archive;local_culture;field;research;public_content;photography</x:v>
      </x:c>
      <x:c r="N4" s="84" t="str">
        <x:v>지역의 역사와 장소를 조사해 공공 기록 콘텐츠로 연결하는 경험</x:v>
      </x:c>
      <x:c r="O4" s="84" t="str">
        <x:v>5·18민주화운동기록관·전일빌딩245</x:v>
      </x:c>
      <x:c r="P4" s="84" t="str">
        <x:v>김사라</x:v>
      </x:c>
      <x:c r="Q4" s="84" t="str">
        <x:v>K-컬처리딩센터 3+1 전략 기반 학과별 세부프로그램 수요조사서</x:v>
      </x:c>
      <x:c r="R4" s="84" t="str"/>
      <x:c r="S4" s="85" t="n">
        <x:v>46222</x:v>
      </x:c>
      <x:c r="T4" s="84" t="str">
        <x:v>사용자 제공 수요조사 화면 기준입니다. 실제 일정과 운영 여부는 학과 확인이 필요합니다.</x:v>
      </x:c>
      <x:c r="U4" s="86" t="n">
        <x:v>200</x:v>
      </x:c>
      <x:c r="V4" s="80" t="n">
        <x:v>2026</x:v>
      </x:c>
      <x:c r="W4" s="81" t="str">
        <x:v>현재_우선</x:v>
      </x:c>
      <x:c r="X4" s="81" t="str">
        <x:v>K-컬처리딩센터</x:v>
      </x:c>
      <x:c r="Y4" s="81" t="str">
        <x:v>1학기</x:v>
      </x:c>
      <x:c r="Z4" s="82" t="str">
        <x:v>메인프로젝트</x:v>
      </x:c>
    </x:row>
    <x:row r="5" ht="34" customHeight="1">
      <x:c r="A5" s="83" t="str">
        <x:v>photo_next_2026_518_eve_festival</x:v>
      </x:c>
      <x:c r="B5" s="84" t="str">
        <x:v>현장탐방·촬영</x:v>
      </x:c>
      <x:c r="C5" s="84" t="str">
        <x:v>5·18 전야제 현장탐방·촬영</x:v>
      </x:c>
      <x:c r="D5" s="84" t="str">
        <x:v>예정</x:v>
      </x:c>
      <x:c r="E5" s="85"/>
      <x:c r="F5" s="85"/>
      <x:c r="G5" s="84" t="str">
        <x:v>2026년 1학기</x:v>
      </x:c>
      <x:c r="H5" s="84" t="str">
        <x:v>5·18 전야제 현장을 관찰하고 사진·영상으로 기록하며 공공 행사 촬영의 역할과 윤리를 익히는 프로그램입니다.</x:v>
      </x:c>
      <x:c r="I5" s="84" t="str">
        <x:v>행사 동선 파악, 현장 사진·영상 촬영과 기록 편집</x:v>
      </x:c>
      <x:c r="J5" s="84" t="str">
        <x:v>행사 사진·영상 기록물</x:v>
      </x:c>
      <x:c r="K5" s="84" t="str">
        <x:v>documentary</x:v>
      </x:c>
      <x:c r="L5" s="84" t="str">
        <x:v>video</x:v>
      </x:c>
      <x:c r="M5" s="84" t="str">
        <x:v>local_culture;field;documentary;video;public_content;team</x:v>
      </x:c>
      <x:c r="N5" s="84" t="str">
        <x:v>공공 행사의 현장성과 사람을 책임 있게 기록하는 경험</x:v>
      </x:c>
      <x:c r="O5" s="84" t="str">
        <x:v>광주 5·18 전야제 현장</x:v>
      </x:c>
      <x:c r="P5" s="84" t="str">
        <x:v>조대연</x:v>
      </x:c>
      <x:c r="Q5" s="84" t="str">
        <x:v>K-컬처리딩센터 3+1 전략 기반 학과별 세부프로그램 수요조사서</x:v>
      </x:c>
      <x:c r="R5" s="84" t="str"/>
      <x:c r="S5" s="85" t="n">
        <x:v>46222</x:v>
      </x:c>
      <x:c r="T5" s="84" t="str">
        <x:v>사용자 제공 수요조사 화면 기준입니다. 실제 일정과 운영 여부는 학과 확인이 필요합니다.</x:v>
      </x:c>
      <x:c r="U5" s="86" t="n">
        <x:v>200</x:v>
      </x:c>
      <x:c r="V5" s="80" t="n">
        <x:v>2026</x:v>
      </x:c>
      <x:c r="W5" s="81" t="str">
        <x:v>현재_우선</x:v>
      </x:c>
      <x:c r="X5" s="81" t="str">
        <x:v>K-컬처리딩센터</x:v>
      </x:c>
      <x:c r="Y5" s="81" t="str">
        <x:v>1학기</x:v>
      </x:c>
      <x:c r="Z5" s="82" t="str">
        <x:v>메인프로젝트</x:v>
      </x:c>
    </x:row>
    <x:row r="6" ht="34" customHeight="1">
      <x:c r="A6" s="83" t="str">
        <x:v>photo_next_2026_ai_generation_club</x:v>
      </x:c>
      <x:c r="B6" s="84" t="str">
        <x:v>동아리</x:v>
      </x:c>
      <x:c r="C6" s="84" t="str">
        <x:v>AI 생성 동아리</x:v>
      </x:c>
      <x:c r="D6" s="84" t="str">
        <x:v>예정</x:v>
      </x:c>
      <x:c r="E6" s="85"/>
      <x:c r="F6" s="85"/>
      <x:c r="G6" s="84" t="str">
        <x:v>2026년 2학기</x:v>
      </x:c>
      <x:c r="H6" s="84" t="str">
        <x:v>북구관리공단과 연계해 생성형 AI를 사진·영상 기반 콘텐츠 제작에 적용해 보는 실습형 동아리입니다.</x:v>
      </x:c>
      <x:c r="I6" s="84" t="str">
        <x:v>AI 이미지·영상 생성, 프롬프트 설계, 콘텐츠 기획과 결과물 제작</x:v>
      </x:c>
      <x:c r="J6" s="84" t="str">
        <x:v>AI 기반 이미지·영상 콘텐츠</x:v>
      </x:c>
      <x:c r="K6" s="84" t="str">
        <x:v>video</x:v>
      </x:c>
      <x:c r="L6" s="84" t="str">
        <x:v>art_photo</x:v>
      </x:c>
      <x:c r="M6" s="84" t="str">
        <x:v>ai;digital_image;media_art;video;production;portfolio</x:v>
      </x:c>
      <x:c r="N6" s="84" t="str">
        <x:v>AI 기술을 사진·영상 작업의 새로운 제작 도구로 연결하는 경험</x:v>
      </x:c>
      <x:c r="O6" s="84" t="str">
        <x:v>광주대학교·북구관리공단 연계 현장</x:v>
      </x:c>
      <x:c r="P6" s="84" t="str">
        <x:v>윤태준</x:v>
      </x:c>
      <x:c r="Q6" s="84" t="str">
        <x:v>K-컬처리딩센터 3+1 전략 기반 학과별 세부프로그램 수요조사서</x:v>
      </x:c>
      <x:c r="R6" s="84" t="str"/>
      <x:c r="S6" s="85" t="n">
        <x:v>46222</x:v>
      </x:c>
      <x:c r="T6" s="84" t="str">
        <x:v>사용자 제공 수요조사 화면 기준입니다. 실제 일정과 운영 여부는 학과 확인이 필요합니다.</x:v>
      </x:c>
      <x:c r="U6" s="86" t="n">
        <x:v>200</x:v>
      </x:c>
      <x:c r="V6" s="80" t="n">
        <x:v>2026</x:v>
      </x:c>
      <x:c r="W6" s="81" t="str">
        <x:v>현재_우선</x:v>
      </x:c>
      <x:c r="X6" s="81" t="str">
        <x:v>K-컬처리딩센터</x:v>
      </x:c>
      <x:c r="Y6" s="81" t="str">
        <x:v>2학기</x:v>
      </x:c>
      <x:c r="Z6" s="82" t="str">
        <x:v>메인프로젝트</x:v>
      </x:c>
    </x:row>
    <x:row r="7" ht="34" customHeight="1">
      <x:c r="A7" s="83" t="str">
        <x:v>photo_next_2026_photo_video_contest</x:v>
      </x:c>
      <x:c r="B7" s="84" t="str">
        <x:v>출품지원</x:v>
      </x:c>
      <x:c r="C7" s="84" t="str">
        <x:v>사진·영상 공모전 출품 지원</x:v>
      </x:c>
      <x:c r="D7" s="84" t="str">
        <x:v>예정</x:v>
      </x:c>
      <x:c r="E7" s="85"/>
      <x:c r="F7" s="85"/>
      <x:c r="G7" s="84" t="str">
        <x:v>2026년 1학기~2학기</x:v>
      </x:c>
      <x:c r="H7" s="84" t="str">
        <x:v>사진과 영상 결과물을 공모전 출품 형식으로 다듬으며 포트폴리오의 완성도와 발표 경험을 높이는 지원 프로그램입니다.</x:v>
      </x:c>
      <x:c r="I7" s="84" t="str">
        <x:v>작품 선별, 편집, 출품 기획과 포트폴리오 정리</x:v>
      </x:c>
      <x:c r="J7" s="84" t="str">
        <x:v>공모전 출품작과 포트폴리오</x:v>
      </x:c>
      <x:c r="K7" s="84" t="str">
        <x:v>art_photo</x:v>
      </x:c>
      <x:c r="L7" s="84" t="str">
        <x:v>video</x:v>
      </x:c>
      <x:c r="M7" s="84" t="str">
        <x:v>portfolio;photography;video;editing;exhibition;planning</x:v>
      </x:c>
      <x:c r="N7" s="84" t="str">
        <x:v>개인 작업을 외부 발표와 포트폴리오 형식으로 완성하는 경험</x:v>
      </x:c>
      <x:c r="O7" s="84" t="str">
        <x:v>광주대학교</x:v>
      </x:c>
      <x:c r="P7" s="84" t="str">
        <x:v>윤태준</x:v>
      </x:c>
      <x:c r="Q7" s="84" t="str">
        <x:v>K-컬처리딩센터 3+1 전략 기반 학과별 세부프로그램 수요조사서</x:v>
      </x:c>
      <x:c r="R7" s="84" t="str"/>
      <x:c r="S7" s="85" t="n">
        <x:v>46222</x:v>
      </x:c>
      <x:c r="T7" s="84" t="str">
        <x:v>사용자 제공 수요조사 화면 기준입니다. 실제 일정과 운영 여부는 학과 확인이 필요합니다.</x:v>
      </x:c>
      <x:c r="U7" s="86" t="n">
        <x:v>200</x:v>
      </x:c>
      <x:c r="V7" s="80" t="n">
        <x:v>2026</x:v>
      </x:c>
      <x:c r="W7" s="81" t="str">
        <x:v>현재_우선</x:v>
      </x:c>
      <x:c r="X7" s="81" t="str">
        <x:v>K-컬처리딩센터</x:v>
      </x:c>
      <x:c r="Y7" s="81" t="str">
        <x:v>1학기~2학기</x:v>
      </x:c>
      <x:c r="Z7" s="82" t="str">
        <x:v>메인프로젝트</x:v>
      </x:c>
    </x:row>
    <x:row r="8" ht="34" customHeight="1">
      <x:c r="A8" s="83" t="str">
        <x:v>photo_next_2026_gwangju_310_reenactment</x:v>
      </x:c>
      <x:c r="B8" s="84" t="str">
        <x:v>콘텐츠개발·이벤트</x:v>
      </x:c>
      <x:c r="C8" s="84" t="str">
        <x:v>광주 3·10 독립만세운동 재현행사 촬영</x:v>
      </x:c>
      <x:c r="D8" s="84" t="str">
        <x:v>예정</x:v>
      </x:c>
      <x:c r="E8" s="85"/>
      <x:c r="F8" s="85"/>
      <x:c r="G8" s="84" t="str">
        <x:v>2026년 1학기</x:v>
      </x:c>
      <x:c r="H8" s="84" t="str">
        <x:v>광주 3·10 독립만세운동 재현행사를 사진과 영상으로 기록해 지역 역사 콘텐츠로 제작하는 프로그램입니다.</x:v>
      </x:c>
      <x:c r="I8" s="84" t="str">
        <x:v>행사 리서치, 촬영 동선 설계, 현장 사진·영상 기록과 편집</x:v>
      </x:c>
      <x:c r="J8" s="84" t="str">
        <x:v>지역 역사 행사 사진·영상 콘텐츠</x:v>
      </x:c>
      <x:c r="K8" s="84" t="str">
        <x:v>documentary</x:v>
      </x:c>
      <x:c r="L8" s="84" t="str">
        <x:v>video</x:v>
      </x:c>
      <x:c r="M8" s="84" t="str">
        <x:v>local_culture;field;documentary;video;public_content;team</x:v>
      </x:c>
      <x:c r="N8" s="84" t="str">
        <x:v>지역의 역사적 장면을 사진과 영상으로 기록해 공공 콘텐츠로 연결하는 경험</x:v>
      </x:c>
      <x:c r="O8" s="84" t="str">
        <x:v>광주 남구청 연계 행사 현장</x:v>
      </x:c>
      <x:c r="P8" s="84" t="str">
        <x:v>조대연</x:v>
      </x:c>
      <x:c r="Q8" s="84" t="str">
        <x:v>K-컬처리딩센터 3+1 전략 기반 학과별 세부프로그램 수요조사서</x:v>
      </x:c>
      <x:c r="R8" s="84" t="str"/>
      <x:c r="S8" s="85" t="n">
        <x:v>46222</x:v>
      </x:c>
      <x:c r="T8" s="84" t="str">
        <x:v>사용자 제공 수요조사 화면 기준입니다. 실제 일정과 운영 여부는 학과 확인이 필요합니다.</x:v>
      </x:c>
      <x:c r="U8" s="86" t="n">
        <x:v>200</x:v>
      </x:c>
      <x:c r="V8" s="80" t="n">
        <x:v>2026</x:v>
      </x:c>
      <x:c r="W8" s="81" t="str">
        <x:v>현재_우선</x:v>
      </x:c>
      <x:c r="X8" s="81" t="str">
        <x:v>K-컬처리딩센터</x:v>
      </x:c>
      <x:c r="Y8" s="81" t="str">
        <x:v>1학기</x:v>
      </x:c>
      <x:c r="Z8" s="82" t="str">
        <x:v>메인프로젝트</x:v>
      </x:c>
    </x:row>
    <x:row r="9" ht="34" customHeight="1">
      <x:c r="A9" s="83" t="str">
        <x:v>photo_next_2026_527_dawn_square</x:v>
      </x:c>
      <x:c r="B9" s="84" t="str">
        <x:v>콘텐츠개발·이벤트</x:v>
      </x:c>
      <x:c r="C9" s="84" t="str">
        <x:v>5·27 승리의 날 새벽광장 촬영</x:v>
      </x:c>
      <x:c r="D9" s="84" t="str">
        <x:v>예정</x:v>
      </x:c>
      <x:c r="E9" s="85"/>
      <x:c r="F9" s="85"/>
      <x:c r="G9" s="84" t="str">
        <x:v>2026년 1학기</x:v>
      </x:c>
      <x:c r="H9" s="84" t="str">
        <x:v>5·27 승리의 날 새벽광장을 사진과 영상으로 기록하며 지역 공동체의 기억을 시각 콘텐츠로 만드는 프로그램입니다.</x:v>
      </x:c>
      <x:c r="I9" s="84" t="str">
        <x:v>행사 현장 촬영, 인물과 공간 기록, 사진·영상 편집</x:v>
      </x:c>
      <x:c r="J9" s="84" t="str">
        <x:v>새벽광장 사진·영상 기록물</x:v>
      </x:c>
      <x:c r="K9" s="84" t="str">
        <x:v>documentary</x:v>
      </x:c>
      <x:c r="L9" s="84" t="str">
        <x:v>video</x:v>
      </x:c>
      <x:c r="M9" s="84" t="str">
        <x:v>local_culture;field;documentary;video;public_content;team</x:v>
      </x:c>
      <x:c r="N9" s="84" t="str">
        <x:v>사람과 장소의 기억을 현장 기록과 영상 콘텐츠로 연결하는 경험</x:v>
      </x:c>
      <x:c r="O9" s="84" t="str">
        <x:v>광주 5·27 승리의 날 행사 현장</x:v>
      </x:c>
      <x:c r="P9" s="84" t="str">
        <x:v>김사라</x:v>
      </x:c>
      <x:c r="Q9" s="84" t="str">
        <x:v>K-컬처리딩센터 3+1 전략 기반 학과별 세부프로그램 수요조사서</x:v>
      </x:c>
      <x:c r="R9" s="84" t="str"/>
      <x:c r="S9" s="85" t="n">
        <x:v>46222</x:v>
      </x:c>
      <x:c r="T9" s="84" t="str">
        <x:v>사용자 제공 수요조사 화면 기준입니다. 실제 일정과 운영 여부는 학과 확인이 필요합니다.</x:v>
      </x:c>
      <x:c r="U9" s="86" t="n">
        <x:v>200</x:v>
      </x:c>
      <x:c r="V9" s="80" t="n">
        <x:v>2026</x:v>
      </x:c>
      <x:c r="W9" s="81" t="str">
        <x:v>현재_우선</x:v>
      </x:c>
      <x:c r="X9" s="81" t="str">
        <x:v>K-컬처리딩센터</x:v>
      </x:c>
      <x:c r="Y9" s="81" t="str">
        <x:v>1학기</x:v>
      </x:c>
      <x:c r="Z9" s="82" t="str">
        <x:v>메인프로젝트</x:v>
      </x:c>
    </x:row>
    <x:row r="10" ht="34" customHeight="1">
      <x:c r="A10" s="83" t="str">
        <x:v>photo_next_2026_documentary_film_acc</x:v>
      </x:c>
      <x:c r="B10" s="84" t="str">
        <x:v>콘텐츠개발</x:v>
      </x:c>
      <x:c r="C10" s="84" t="str">
        <x:v>다큐멘터리 영화 제작</x:v>
      </x:c>
      <x:c r="D10" s="84" t="str">
        <x:v>예정</x:v>
      </x:c>
      <x:c r="E10" s="85"/>
      <x:c r="F10" s="85"/>
      <x:c r="G10" s="84" t="str">
        <x:v>2026년 1학기~2학기</x:v>
      </x:c>
      <x:c r="H10" s="84" t="str">
        <x:v>국립아시아문화전당과 연계해 기획·촬영·편집을 거쳐 다큐멘터리 영화를 제작하는 프로젝트입니다.</x:v>
      </x:c>
      <x:c r="I10" s="84" t="str">
        <x:v>주제 조사, 인터뷰, 영상촬영, 편집과 상영 준비</x:v>
      </x:c>
      <x:c r="J10" s="84" t="str">
        <x:v>단편 다큐멘터리 영화</x:v>
      </x:c>
      <x:c r="K10" s="84" t="str">
        <x:v>video</x:v>
      </x:c>
      <x:c r="L10" s="84" t="str">
        <x:v>documentary</x:v>
      </x:c>
      <x:c r="M10" s="84" t="str">
        <x:v>documentary;interview;video;editing;production;portfolio</x:v>
      </x:c>
      <x:c r="N10" s="84" t="str">
        <x:v>사람과 주제를 조사해 영상 서사와 완성된 다큐멘터리로 만드는 경험</x:v>
      </x:c>
      <x:c r="O10" s="84" t="str">
        <x:v>국립아시아문화전당</x:v>
      </x:c>
      <x:c r="P10" s="84" t="str">
        <x:v>윤태준</x:v>
      </x:c>
      <x:c r="Q10" s="84" t="str">
        <x:v>K-컬처리딩센터 3+1 전략 기반 학과별 세부프로그램 수요조사서</x:v>
      </x:c>
      <x:c r="R10" s="84" t="str"/>
      <x:c r="S10" s="85" t="n">
        <x:v>46222</x:v>
      </x:c>
      <x:c r="T10" s="84" t="str">
        <x:v>사용자 제공 수요조사 화면 기준입니다. 실제 일정과 운영 여부는 학과 확인이 필요합니다.</x:v>
      </x:c>
      <x:c r="U10" s="86" t="n">
        <x:v>200</x:v>
      </x:c>
      <x:c r="V10" s="80" t="n">
        <x:v>2026</x:v>
      </x:c>
      <x:c r="W10" s="81" t="str">
        <x:v>현재_우선</x:v>
      </x:c>
      <x:c r="X10" s="81" t="str">
        <x:v>K-컬처리딩센터</x:v>
      </x:c>
      <x:c r="Y10" s="81" t="str">
        <x:v>1학기~2학기</x:v>
      </x:c>
      <x:c r="Z10" s="82" t="str">
        <x:v>메인프로젝트</x:v>
      </x:c>
    </x:row>
    <x:row r="11" ht="34" customHeight="1">
      <x:c r="A11" s="83" t="str">
        <x:v>photo_next_2026_projection_mapping_north</x:v>
      </x:c>
      <x:c r="B11" s="84" t="str">
        <x:v>콘텐츠개발·이벤트</x:v>
      </x:c>
      <x:c r="C11" s="84" t="str">
        <x:v>프로젝션 매핑 기획·편집·쇼케이스</x:v>
      </x:c>
      <x:c r="D11" s="84" t="str">
        <x:v>예정</x:v>
      </x:c>
      <x:c r="E11" s="85"/>
      <x:c r="F11" s="85"/>
      <x:c r="G11" s="84" t="str">
        <x:v>2026년 2학기</x:v>
      </x:c>
      <x:c r="H11" s="84" t="str">
        <x:v>북구시설관리공단과 연계해 프로젝션 매핑 콘텐츠를 기획·편집하고 쇼케이스로 발표하는 프로그램입니다.</x:v>
      </x:c>
      <x:c r="I11" s="84" t="str">
        <x:v>공간 리서치, 콘텐츠 기획, 이미지·영상 편집, 쇼케이스 설치와 운영</x:v>
      </x:c>
      <x:c r="J11" s="84" t="str">
        <x:v>프로젝션 매핑 쇼케이스와 전시형 콘텐츠</x:v>
      </x:c>
      <x:c r="K11" s="84" t="str">
        <x:v>art_photo</x:v>
      </x:c>
      <x:c r="L11" s="84" t="str">
        <x:v>video</x:v>
      </x:c>
      <x:c r="M11" s="84" t="str">
        <x:v>media_art;installation;digital_image;video;planning;exhibition</x:v>
      </x:c>
      <x:c r="N11" s="84" t="str">
        <x:v>공간의 특성을 읽어 이미지와 영상을 전시형 작업으로 구현하는 경험</x:v>
      </x:c>
      <x:c r="O11" s="84" t="str">
        <x:v>북구시설관리공단 연계 공간</x:v>
      </x:c>
      <x:c r="P11" s="84" t="str">
        <x:v>김사라</x:v>
      </x:c>
      <x:c r="Q11" s="84" t="str">
        <x:v>K-컬처리딩센터 3+1 전략 기반 학과별 세부프로그램 수요조사서</x:v>
      </x:c>
      <x:c r="R11" s="84" t="str"/>
      <x:c r="S11" s="85" t="n">
        <x:v>46222</x:v>
      </x:c>
      <x:c r="T11" s="84" t="str">
        <x:v>사용자 제공 수요조사 화면 기준입니다. 실제 일정과 운영 여부는 학과 확인이 필요합니다.</x:v>
      </x:c>
      <x:c r="U11" s="86" t="n">
        <x:v>200</x:v>
      </x:c>
      <x:c r="V11" s="80" t="n">
        <x:v>2026</x:v>
      </x:c>
      <x:c r="W11" s="81" t="str">
        <x:v>현재_우선</x:v>
      </x:c>
      <x:c r="X11" s="81" t="str">
        <x:v>K-컬처리딩센터</x:v>
      </x:c>
      <x:c r="Y11" s="81" t="str">
        <x:v>2학기</x:v>
      </x:c>
      <x:c r="Z11" s="82" t="str">
        <x:v>메인프로젝트</x:v>
      </x:c>
    </x:row>
    <x:row r="12" ht="34" customHeight="1">
      <x:c r="A12" s="83" t="str">
        <x:v>photo_next_2026_center_content_request</x:v>
      </x:c>
      <x:c r="B12" s="84" t="str">
        <x:v>콘텐츠개발·이벤트</x:v>
      </x:c>
      <x:c r="C12" s="84" t="str">
        <x:v>K-컬처리딩센터 요청 콘텐츠·이벤트 제작</x:v>
      </x:c>
      <x:c r="D12" s="84" t="str">
        <x:v>예정</x:v>
      </x:c>
      <x:c r="E12" s="85"/>
      <x:c r="F12" s="85"/>
      <x:c r="G12" s="84" t="str">
        <x:v>2026년 2학기</x:v>
      </x:c>
      <x:c r="H12" s="84" t="str">
        <x:v>K-컬처리딩센터의 실제 요청에 맞춰 사진·영상 콘텐츠와 이벤트 기록물을 제작하는 실무형 프로젝트입니다.</x:v>
      </x:c>
      <x:c r="I12" s="84" t="str">
        <x:v>요청 분석, 촬영 기획, 사진·영상 제작과 현장 기록</x:v>
      </x:c>
      <x:c r="J12" s="84" t="str">
        <x:v>기관 요청형 사진·영상 콘텐츠</x:v>
      </x:c>
      <x:c r="K12" s="84" t="str">
        <x:v>video</x:v>
      </x:c>
      <x:c r="L12" s="84" t="str">
        <x:v>commercial;documentary</x:v>
      </x:c>
      <x:c r="M12" s="84" t="str">
        <x:v>content;video;photography;production;field;team</x:v>
      </x:c>
      <x:c r="N12" s="84" t="str">
        <x:v>실제 기관의 요구를 분석해 사진·영상 제작 결과물로 완성하는 경험</x:v>
      </x:c>
      <x:c r="O12" s="84" t="str">
        <x:v>K-컬처리딩센터 연계 현장</x:v>
      </x:c>
      <x:c r="P12" s="84" t="str">
        <x:v>윤태준</x:v>
      </x:c>
      <x:c r="Q12" s="84" t="str">
        <x:v>K-컬처리딩센터 3+1 전략 기반 학과별 세부프로그램 수요조사서</x:v>
      </x:c>
      <x:c r="R12" s="84" t="str"/>
      <x:c r="S12" s="85" t="n">
        <x:v>46222</x:v>
      </x:c>
      <x:c r="T12" s="84" t="str">
        <x:v>사용자 제공 수요조사 화면 기준입니다. 실제 일정과 운영 여부는 학과 확인이 필요합니다.</x:v>
      </x:c>
      <x:c r="U12" s="86" t="n">
        <x:v>200</x:v>
      </x:c>
      <x:c r="V12" s="80" t="n">
        <x:v>2026</x:v>
      </x:c>
      <x:c r="W12" s="81" t="str">
        <x:v>현재_우선</x:v>
      </x:c>
      <x:c r="X12" s="81" t="str">
        <x:v>K-컬처리딩센터</x:v>
      </x:c>
      <x:c r="Y12" s="81" t="str">
        <x:v>2학기</x:v>
      </x:c>
      <x:c r="Z12" s="82" t="str">
        <x:v>메인프로젝트</x:v>
      </x:c>
    </x:row>
    <x:row r="13" ht="34" customHeight="1">
      <x:c r="A13" s="83" t="str">
        <x:v>photo_next_2026_documentary_bitgoeul</x:v>
      </x:c>
      <x:c r="B13" s="84" t="str">
        <x:v>이벤트</x:v>
      </x:c>
      <x:c r="C13" s="84" t="str">
        <x:v>다큐멘터리 영화촬영: 빛고을노인건강타운</x:v>
      </x:c>
      <x:c r="D13" s="84" t="str">
        <x:v>검토중</x:v>
      </x:c>
      <x:c r="E13" s="85"/>
      <x:c r="F13" s="85"/>
      <x:c r="G13" s="84" t="str">
        <x:v>2026년 1학기~2학기</x:v>
      </x:c>
      <x:c r="H13" s="84" t="str">
        <x:v>빛고을노인건강타운을 배경으로 다큐멘터리 영화촬영을 검토 중인 현장 기록 프로그램입니다.</x:v>
      </x:c>
      <x:c r="I13" s="84" t="str">
        <x:v>현장 조사, 인터뷰와 영상촬영 계획 수립</x:v>
      </x:c>
      <x:c r="J13" s="84" t="str">
        <x:v>다큐멘터리 촬영 계획과 영상 기록</x:v>
      </x:c>
      <x:c r="K13" s="84" t="str">
        <x:v>documentary</x:v>
      </x:c>
      <x:c r="L13" s="84" t="str">
        <x:v>video</x:v>
      </x:c>
      <x:c r="M13" s="84" t="str">
        <x:v>documentary;interview;field;video;local_culture;research</x:v>
      </x:c>
      <x:c r="N13" s="84" t="str">
        <x:v>사람의 삶을 인터뷰와 영상 기록으로 연결하는 다큐멘터리 제작 경험</x:v>
      </x:c>
      <x:c r="O13" s="84" t="str">
        <x:v>빛고을노인건강타운</x:v>
      </x:c>
      <x:c r="P13" s="84" t="str">
        <x:v>윤태준</x:v>
      </x:c>
      <x:c r="Q13" s="84" t="str">
        <x:v>K-컬처리딩센터 3+1 전략 기반 학과별 세부프로그램 수요조사서</x:v>
      </x:c>
      <x:c r="R13" s="84" t="str"/>
      <x:c r="S13" s="85" t="n">
        <x:v>46222</x:v>
      </x:c>
      <x:c r="T13" s="84" t="str">
        <x:v>사용자 제공 수요조사 화면에서 인사이트 프로그램 이동 검토 메모가 확인되어 계획 검토 상태로 표시합니다.</x:v>
      </x:c>
      <x:c r="U13" s="86" t="n">
        <x:v>170</x:v>
      </x:c>
      <x:c r="V13" s="80" t="n">
        <x:v>2026</x:v>
      </x:c>
      <x:c r="W13" s="81" t="str">
        <x:v>현재_우선</x:v>
      </x:c>
      <x:c r="X13" s="81" t="str">
        <x:v>K-컬처리딩센터</x:v>
      </x:c>
      <x:c r="Y13" s="81" t="str">
        <x:v>1학기~2학기</x:v>
      </x:c>
      <x:c r="Z13" s="82" t="str">
        <x:v>메인프로젝트</x:v>
      </x:c>
    </x:row>
    <x:row r="14" ht="34" customHeight="1">
      <x:c r="A14" s="83" t="str">
        <x:v>photo_next_2026_openlab_photo_exhibitions</x:v>
      </x:c>
      <x:c r="B14" s="84" t="str">
        <x:v>이벤트</x:v>
      </x:c>
      <x:c r="C14" s="84" t="str">
        <x:v>K-컬처 오픈랩 연계 사진전시 2회</x:v>
      </x:c>
      <x:c r="D14" s="84" t="str">
        <x:v>예정</x:v>
      </x:c>
      <x:c r="E14" s="85"/>
      <x:c r="F14" s="85"/>
      <x:c r="G14" s="84" t="str">
        <x:v>2026년 2학기</x:v>
      </x:c>
      <x:c r="H14" s="84" t="str">
        <x:v>K-컬처 오픈랩과 연계해 사진전시 두 차례를 기획하고 운영하며 작품 발표와 전시 실무를 경험하는 프로그램입니다.</x:v>
      </x:c>
      <x:c r="I14" s="84" t="str">
        <x:v>작품 선별, 전시 기획, 설치, 홍보물 제작과 운영</x:v>
      </x:c>
      <x:c r="J14" s="84" t="str">
        <x:v>사진전시와 전시 운영 기록</x:v>
      </x:c>
      <x:c r="K14" s="84" t="str">
        <x:v>art_photo</x:v>
      </x:c>
      <x:c r="L14" s="84" t="str">
        <x:v>documentary;video</x:v>
      </x:c>
      <x:c r="M14" s="84" t="str">
        <x:v>exhibition;photography;portfolio;curating;planning;team</x:v>
      </x:c>
      <x:c r="N14" s="84" t="str">
        <x:v>개인 작업을 전시 공간과 관객에게 전달하는 발표 경험</x:v>
      </x:c>
      <x:c r="O14" s="84" t="str">
        <x:v>K-컬처 오픈랩</x:v>
      </x:c>
      <x:c r="P14" s="84" t="str">
        <x:v>윤태준;김사라</x:v>
      </x:c>
      <x:c r="Q14" s="84" t="str">
        <x:v>K-컬처리딩센터 3+1 전략 기반 학과별 세부프로그램 수요조사서</x:v>
      </x:c>
      <x:c r="R14" s="84" t="str"/>
      <x:c r="S14" s="85" t="n">
        <x:v>46222</x:v>
      </x:c>
      <x:c r="T14" s="84" t="str">
        <x:v>사용자 제공 수요조사 화면 기준입니다. 실제 일정과 운영 여부는 학과 확인이 필요합니다.</x:v>
      </x:c>
      <x:c r="U14" s="86" t="n">
        <x:v>200</x:v>
      </x:c>
      <x:c r="V14" s="80" t="n">
        <x:v>2026</x:v>
      </x:c>
      <x:c r="W14" s="81" t="str">
        <x:v>현재_우선</x:v>
      </x:c>
      <x:c r="X14" s="81" t="str">
        <x:v>K-컬처리딩센터</x:v>
      </x:c>
      <x:c r="Y14" s="81" t="str">
        <x:v>2학기</x:v>
      </x:c>
      <x:c r="Z14" s="82" t="str">
        <x:v>메인프로젝트</x:v>
      </x:c>
    </x:row>
    <x:row r="15" ht="34" customHeight="1">
      <x:c r="A15" s="83" t="str">
        <x:v>photo_next_2025_maison_objet</x:v>
      </x:c>
      <x:c r="B15" s="84" t="str">
        <x:v>프로젝트</x:v>
      </x:c>
      <x:c r="C15" s="84" t="str">
        <x:v>프랑스 메종&amp;오브제 연계 콘텐츠 제작</x:v>
      </x:c>
      <x:c r="D15" s="84" t="str">
        <x:v>완료</x:v>
      </x:c>
      <x:c r="E15" s="85" t="n">
        <x:v>45901</x:v>
      </x:c>
      <x:c r="F15" s="85" t="n">
        <x:v>45930</x:v>
      </x:c>
      <x:c r="G15" s="84" t="str">
        <x:v>2025년 9월</x:v>
      </x:c>
      <x:c r="H15" s="84" t="str">
        <x:v>프랑스 메종&amp;오브제와 참여 작가를 주제로 전시·작가 관련 콘텐츠를 기획하고 제작한 글로벌 전시 연계 프로젝트</x:v>
      </x:c>
      <x:c r="I15" s="84" t="str">
        <x:v>전시와 참여 작가를 조사하고 사진·영상 기반 콘텐츠를 기획·제작</x:v>
      </x:c>
      <x:c r="J15" s="84" t="str">
        <x:v>전시·작가 소개 콘텐츠</x:v>
      </x:c>
      <x:c r="K15" s="84" t="str">
        <x:v>commercial</x:v>
      </x:c>
      <x:c r="L15" s="84" t="str">
        <x:v>art_photo;video</x:v>
      </x:c>
      <x:c r="M15" s="84" t="str">
        <x:v>content;commercial;planning;production;photography;video;research</x:v>
      </x:c>
      <x:c r="N15" s="84" t="str">
        <x:v>국제 전시와 참여 작가를 조사하고 시각 콘텐츠로 재구성하는 기획·제작 경험</x:v>
      </x:c>
      <x:c r="O15" s="84" t="str">
        <x:v>Maison&amp;Objet</x:v>
      </x:c>
      <x:c r="P15" s="84" t="str">
        <x:v>곽동욱</x:v>
      </x:c>
      <x:c r="Q15" s="84" t="str">
        <x:v>2025 RISE 사업 실적자료</x:v>
      </x:c>
      <x:c r="R15" s="84" t="str"/>
      <x:c r="S15" s="85" t="n">
        <x:v>46222</x:v>
      </x:c>
      <x:c r="T15" s="84" t="str">
        <x:v>사용자 제공 RISE 사업 실적표 기준. 공식 URL, 정확한 참여 기관 및 세부 일정 확인 필요. 예산: RISE 사업</x:v>
      </x:c>
      <x:c r="U15" s="86" t="n">
        <x:v>1</x:v>
      </x:c>
      <x:c r="V15" s="80" t="n">
        <x:v>2025</x:v>
      </x:c>
      <x:c r="W15" s="81" t="str">
        <x:v>최근_사례</x:v>
      </x:c>
      <x:c r="X15" s="81" t="str">
        <x:v>RISE 사업</x:v>
      </x:c>
      <x:c r="Y15" s="81" t="str"/>
      <x:c r="Z15" s="82" t="str">
        <x:v>최근사례</x:v>
      </x:c>
    </x:row>
    <x:row r="16" ht="34" customHeight="1">
      <x:c r="A16" s="83" t="str">
        <x:v>photo_next_2025_yangnim_sujak</x:v>
      </x:c>
      <x:c r="B16" s="84" t="str">
        <x:v>프로젝트</x:v>
      </x:c>
      <x:c r="C16" s="84" t="str">
        <x:v>양림수작 지역축제 사진·영상 기록</x:v>
      </x:c>
      <x:c r="D16" s="84" t="str">
        <x:v>완료</x:v>
      </x:c>
      <x:c r="E16" s="85" t="n">
        <x:v>45901</x:v>
      </x:c>
      <x:c r="F16" s="85" t="n">
        <x:v>45930</x:v>
      </x:c>
      <x:c r="G16" s="84" t="str">
        <x:v>2025년 9월</x:v>
      </x:c>
      <x:c r="H16" s="84" t="str">
        <x:v>지역축제 현장에서 사진과 영상을 촬영하며 지역문화 기록과 홍보 콘텐츠 제작 경험을 쌓은 현장 프로젝트</x:v>
      </x:c>
      <x:c r="I16" s="84" t="str">
        <x:v>축제 현장 사진·영상 촬영과 장면 기록에 3명 참여</x:v>
      </x:c>
      <x:c r="J16" s="84" t="str">
        <x:v>지역축제 사진·영상 기록물</x:v>
      </x:c>
      <x:c r="K16" s="84" t="str">
        <x:v>documentary</x:v>
      </x:c>
      <x:c r="L16" s="84" t="str">
        <x:v>commercial;video</x:v>
      </x:c>
      <x:c r="M16" s="84" t="str">
        <x:v>local_culture;field;photography;video;documentary;public_content;team</x:v>
      </x:c>
      <x:c r="N16" s="84" t="str">
        <x:v>지역 현장을 직접 촬영하며 다큐멘터리 기록과 공공 홍보 콘텐츠 제작을 함께 경험</x:v>
      </x:c>
      <x:c r="O16" s="84" t="str">
        <x:v>양림동 일대</x:v>
      </x:c>
      <x:c r="P16" s="84" t="str">
        <x:v>김사라;조대연</x:v>
      </x:c>
      <x:c r="Q16" s="84" t="str">
        <x:v>2025 RISE 사업 실적자료</x:v>
      </x:c>
      <x:c r="R16" s="84" t="str"/>
      <x:c r="S16" s="85" t="n">
        <x:v>46222</x:v>
      </x:c>
      <x:c r="T16" s="84" t="str">
        <x:v>참여 학생 3명. 공식 행사 기간 및 URL 확인 필요. 예산: RISE 사업</x:v>
      </x:c>
      <x:c r="U16" s="86" t="n">
        <x:v>2</x:v>
      </x:c>
      <x:c r="V16" s="80" t="n">
        <x:v>2025</x:v>
      </x:c>
      <x:c r="W16" s="81" t="str">
        <x:v>최근_사례</x:v>
      </x:c>
      <x:c r="X16" s="81" t="str">
        <x:v>RISE 사업</x:v>
      </x:c>
      <x:c r="Y16" s="81" t="str"/>
      <x:c r="Z16" s="82" t="str">
        <x:v>최근사례</x:v>
      </x:c>
    </x:row>
    <x:row r="17" ht="34" customHeight="1">
      <x:c r="A17" s="83" t="str">
        <x:v>photo_next_2025_nodae_eco_festival</x:v>
      </x:c>
      <x:c r="B17" s="84" t="str">
        <x:v>프로젝트</x:v>
      </x:c>
      <x:c r="C17" s="84" t="str">
        <x:v>노대 에코 페스티벌 사진·영상 기록</x:v>
      </x:c>
      <x:c r="D17" s="84" t="str">
        <x:v>완료</x:v>
      </x:c>
      <x:c r="E17" s="85" t="n">
        <x:v>45901</x:v>
      </x:c>
      <x:c r="F17" s="85" t="n">
        <x:v>45930</x:v>
      </x:c>
      <x:c r="G17" s="84" t="str">
        <x:v>2025년 9월</x:v>
      </x:c>
      <x:c r="H17" s="84" t="str">
        <x:v>환경·지역 공동체 축제를 사진과 영상으로 기록하고 현장 대응형 촬영 역량을 강화한 프로젝트</x:v>
      </x:c>
      <x:c r="I17" s="84" t="str">
        <x:v>축제 현장 사진·영상 촬영에 8명 참여</x:v>
      </x:c>
      <x:c r="J17" s="84" t="str">
        <x:v>축제 기록사진 및 영상</x:v>
      </x:c>
      <x:c r="K17" s="84" t="str">
        <x:v>documentary</x:v>
      </x:c>
      <x:c r="L17" s="84" t="str">
        <x:v>video;commercial</x:v>
      </x:c>
      <x:c r="M17" s="84" t="str">
        <x:v>local_culture;field;photography;video;documentary;team;public_content</x:v>
      </x:c>
      <x:c r="N17" s="84" t="str">
        <x:v>환경과 지역 공동체를 주제로 현장 기록과 팀 촬영을 수행</x:v>
      </x:c>
      <x:c r="O17" s="84" t="str">
        <x:v>노대동 축제 현장</x:v>
      </x:c>
      <x:c r="P17" s="84" t="str">
        <x:v>김사라;조대연</x:v>
      </x:c>
      <x:c r="Q17" s="84" t="str">
        <x:v>2025 RISE 사업 실적자료</x:v>
      </x:c>
      <x:c r="R17" s="84" t="str"/>
      <x:c r="S17" s="85" t="n">
        <x:v>46222</x:v>
      </x:c>
      <x:c r="T17" s="84" t="str">
        <x:v>참여 학생 8명. 공식 행사명 표기, 장소, 기간 및 URL 확인 필요. 예산: RISE 사업</x:v>
      </x:c>
      <x:c r="U17" s="86" t="n">
        <x:v>2</x:v>
      </x:c>
      <x:c r="V17" s="80" t="n">
        <x:v>2025</x:v>
      </x:c>
      <x:c r="W17" s="81" t="str">
        <x:v>최근_사례</x:v>
      </x:c>
      <x:c r="X17" s="81" t="str">
        <x:v>RISE 사업</x:v>
      </x:c>
      <x:c r="Y17" s="81" t="str"/>
      <x:c r="Z17" s="82" t="str">
        <x:v>최근사례</x:v>
      </x:c>
    </x:row>
    <x:row r="18" ht="34" customHeight="1">
      <x:c r="A18" s="87" t="str">
        <x:v>photo_next_2025_acc_asia_art_market</x:v>
      </x:c>
      <x:c r="B18" s="88" t="str">
        <x:v>프로젝트</x:v>
      </x:c>
      <x:c r="C18" s="88" t="str">
        <x:v>ACC 개관 10주년 아시아문화주간 아시아 아트마켓 기록</x:v>
      </x:c>
      <x:c r="D18" s="88" t="str">
        <x:v>완료</x:v>
      </x:c>
      <x:c r="E18" s="89" t="n">
        <x:v>45931</x:v>
      </x:c>
      <x:c r="F18" s="89" t="n">
        <x:v>45961</x:v>
      </x:c>
      <x:c r="G18" s="88" t="str">
        <x:v>2025년 10월</x:v>
      </x:c>
      <x:c r="H18" s="88" t="str">
        <x:v>국립아시아문화전당 개관 10주년 아시아문화주간의 아시아 아트마켓을 사진과 영상으로 기록한 문화행사 연계 프로젝트</x:v>
      </x:c>
      <x:c r="I18" s="88" t="str">
        <x:v>행사 현장 사진·영상 촬영에 11명 참여</x:v>
      </x:c>
      <x:c r="J18" s="88" t="str">
        <x:v>아시아 아트마켓 사진·영상 기록물</x:v>
      </x:c>
      <x:c r="K18" s="88" t="str">
        <x:v>documentary</x:v>
      </x:c>
      <x:c r="L18" s="88" t="str">
        <x:v>commercial;video</x:v>
      </x:c>
      <x:c r="M18" s="88" t="str">
        <x:v>cultural_planning;local_culture;field;photography;video;team;public_content</x:v>
      </x:c>
      <x:c r="N18" s="88" t="str">
        <x:v>대규모 문화행사 현장에서 촬영 동선과 역할을 나누고 공공 문화콘텐츠를 제작</x:v>
      </x:c>
      <x:c r="O18" s="88" t="str">
        <x:v>국립아시아문화전당</x:v>
      </x:c>
      <x:c r="P18" s="88" t="str">
        <x:v>김사라;조대연</x:v>
      </x:c>
      <x:c r="Q18" s="88" t="str">
        <x:v>2025 RISE 사업 실적자료</x:v>
      </x:c>
      <x:c r="R18" s="88" t="str"/>
      <x:c r="S18" s="89" t="n">
        <x:v>46222</x:v>
      </x:c>
      <x:c r="T18" s="88" t="str">
        <x:v>참여 학생 11명. 공식 행사 페이지 및 세부 촬영 범위 확인 필요. 예산: RISE 사업</x:v>
      </x:c>
      <x:c r="U18" s="90" t="n">
        <x:v>1</x:v>
      </x:c>
      <x:c r="V18" s="80" t="n">
        <x:v>2025</x:v>
      </x:c>
      <x:c r="W18" s="81" t="str">
        <x:v>최근_사례</x:v>
      </x:c>
      <x:c r="X18" s="81" t="str">
        <x:v>RISE 사업</x:v>
      </x:c>
      <x:c r="Y18" s="81" t="str"/>
      <x:c r="Z18" s="82" t="str">
        <x:v>최근사례</x:v>
      </x:c>
    </x:row>
    <x:row r="19" ht="34" customHeight="1">
      <x:c r="A19" s="87" t="str">
        <x:v>photo_next_2025_good_morning_yangnim</x:v>
      </x:c>
      <x:c r="B19" s="88" t="str">
        <x:v>프로젝트</x:v>
      </x:c>
      <x:c r="C19" s="88" t="str">
        <x:v>굿모닝 양림 사진·영상 기록</x:v>
      </x:c>
      <x:c r="D19" s="88" t="str">
        <x:v>완료</x:v>
      </x:c>
      <x:c r="E19" s="89" t="n">
        <x:v>45931</x:v>
      </x:c>
      <x:c r="F19" s="89" t="n">
        <x:v>45961</x:v>
      </x:c>
      <x:c r="G19" s="88" t="str">
        <x:v>2025년 10월</x:v>
      </x:c>
      <x:c r="H19" s="88" t="str">
        <x:v>양림동 지역문화축제를 사진과 영상으로 기록하고 지역 기반 콘텐츠 제작 역량을 강화한 프로젝트</x:v>
      </x:c>
      <x:c r="I19" s="88" t="str">
        <x:v>축제 현장 사진·영상 촬영에 11명 참여</x:v>
      </x:c>
      <x:c r="J19" s="88" t="str">
        <x:v>지역축제 사진·영상 기록물</x:v>
      </x:c>
      <x:c r="K19" s="88" t="str">
        <x:v>documentary</x:v>
      </x:c>
      <x:c r="L19" s="88" t="str">
        <x:v>commercial;video</x:v>
      </x:c>
      <x:c r="M19" s="88" t="str">
        <x:v>local_culture;field;photography;video;documentary;team;public_content</x:v>
      </x:c>
      <x:c r="N19" s="88" t="str">
        <x:v>지역문화 현장을 관찰하고 사진·영상으로 기록해 공공 콘텐츠로 확장</x:v>
      </x:c>
      <x:c r="O19" s="88" t="str">
        <x:v>광주 양림동 일대</x:v>
      </x:c>
      <x:c r="P19" s="88" t="str">
        <x:v>김사라;조대연</x:v>
      </x:c>
      <x:c r="Q19" s="88" t="str">
        <x:v>2025 RISE 사업 실적자료</x:v>
      </x:c>
      <x:c r="R19" s="88" t="str"/>
      <x:c r="S19" s="89" t="n">
        <x:v>46222</x:v>
      </x:c>
      <x:c r="T19" s="88" t="str">
        <x:v>참여 학생 11명. 공식 행사 기간과 URL 확인 필요. 예산: RISE 사업</x:v>
      </x:c>
      <x:c r="U19" s="90" t="n">
        <x:v>1</x:v>
      </x:c>
      <x:c r="V19" s="80" t="n">
        <x:v>2025</x:v>
      </x:c>
      <x:c r="W19" s="81" t="str">
        <x:v>최근_사례</x:v>
      </x:c>
      <x:c r="X19" s="81" t="str">
        <x:v>RISE 사업</x:v>
      </x:c>
      <x:c r="Y19" s="81" t="str"/>
      <x:c r="Z19" s="82" t="str">
        <x:v>최근사례</x:v>
      </x:c>
    </x:row>
    <x:row r="20" ht="34" customHeight="1">
      <x:c r="A20" s="87" t="str">
        <x:v>photo_next_2025_bitgoeul_craft_market</x:v>
      </x:c>
      <x:c r="B20" s="88" t="str">
        <x:v>프로젝트</x:v>
      </x:c>
      <x:c r="C20" s="88" t="str">
        <x:v>빛고을공예창작촌 전통가마 소성식·공예체험 플리마켓 기록</x:v>
      </x:c>
      <x:c r="D20" s="88" t="str">
        <x:v>완료</x:v>
      </x:c>
      <x:c r="E20" s="89" t="n">
        <x:v>45962</x:v>
      </x:c>
      <x:c r="F20" s="89" t="n">
        <x:v>45991</x:v>
      </x:c>
      <x:c r="G20" s="88" t="str">
        <x:v>2025년 11월</x:v>
      </x:c>
      <x:c r="H20" s="88" t="str">
        <x:v>전통가마 소성식과 공예체험 플리마켓을 사진과 영상으로 기록하며 공예문화 콘텐츠 제작 경험을 쌓은 프로젝트</x:v>
      </x:c>
      <x:c r="I20" s="88" t="str">
        <x:v>행사 현장 사진·영상 촬영에 9명 참여</x:v>
      </x:c>
      <x:c r="J20" s="88" t="str">
        <x:v>공예행사 사진·영상 기록물</x:v>
      </x:c>
      <x:c r="K20" s="88" t="str">
        <x:v>documentary</x:v>
      </x:c>
      <x:c r="L20" s="88" t="str">
        <x:v>commercial;video</x:v>
      </x:c>
      <x:c r="M20" s="88" t="str">
        <x:v>local_culture;field;photography;video;cultural_planning;team;public_content</x:v>
      </x:c>
      <x:c r="N20" s="88" t="str">
        <x:v>전통공예 현장을 기록하고 문화행사 홍보에 활용 가능한 시각 콘텐츠를 제작</x:v>
      </x:c>
      <x:c r="O20" s="88" t="str">
        <x:v>빛고을공예창작촌</x:v>
      </x:c>
      <x:c r="P20" s="88" t="str">
        <x:v>김사라;조대연</x:v>
      </x:c>
      <x:c r="Q20" s="88" t="str">
        <x:v>2025 RISE 사업 실적자료</x:v>
      </x:c>
      <x:c r="R20" s="88" t="str"/>
      <x:c r="S20" s="89" t="n">
        <x:v>46222</x:v>
      </x:c>
      <x:c r="T20" s="88" t="str">
        <x:v>참여 학생 9명. 행사 공식 명칭과 URL 확인 필요. 예산: RISE 사업</x:v>
      </x:c>
      <x:c r="U20" s="90" t="n">
        <x:v>2</x:v>
      </x:c>
      <x:c r="V20" s="80" t="n">
        <x:v>2025</x:v>
      </x:c>
      <x:c r="W20" s="81" t="str">
        <x:v>최근_사례</x:v>
      </x:c>
      <x:c r="X20" s="81" t="str">
        <x:v>RISE 사업</x:v>
      </x:c>
      <x:c r="Y20" s="81" t="str"/>
      <x:c r="Z20" s="82" t="str">
        <x:v>최근사례</x:v>
      </x:c>
    </x:row>
    <x:row r="21" ht="34" customHeight="1">
      <x:c r="A21" s="87" t="str">
        <x:v>photo_next_2025_farmer_welfare_portrait</x:v>
      </x:c>
      <x:c r="B21" s="88" t="str">
        <x:v>봉사활동</x:v>
      </x:c>
      <x:c r="C21" s="88" t="str">
        <x:v>농업인 복지서비스 장수사진 촬영 봉사</x:v>
      </x:c>
      <x:c r="D21" s="88" t="str">
        <x:v>완료</x:v>
      </x:c>
      <x:c r="E21" s="89" t="n">
        <x:v>45962</x:v>
      </x:c>
      <x:c r="F21" s="89" t="n">
        <x:v>45991</x:v>
      </x:c>
      <x:c r="G21" s="88" t="str">
        <x:v>2025년 11월</x:v>
      </x:c>
      <x:c r="H21" s="88" t="str">
        <x:v>농업인을 대상으로 장수사진을 촬영하며 인물사진 실무와 지역사회 봉사를 결합한 프로젝트</x:v>
      </x:c>
      <x:c r="I21" s="88" t="str">
        <x:v>인물 촬영, 조명, 현장 응대 및 보정 과정에 6명 참여</x:v>
      </x:c>
      <x:c r="J21" s="88" t="str">
        <x:v>장수사진 인화물</x:v>
      </x:c>
      <x:c r="K21" s="88" t="str">
        <x:v>commercial</x:v>
      </x:c>
      <x:c r="L21" s="88" t="str">
        <x:v>documentary</x:v>
      </x:c>
      <x:c r="M21" s="88" t="str">
        <x:v>portrait;people;lighting;field;photography;post_production;local_culture</x:v>
      </x:c>
      <x:c r="N21" s="88" t="str">
        <x:v>인물 촬영의 기술적 완성도와 촬영 대상자와의 소통을 동시에 경험</x:v>
      </x:c>
      <x:c r="O21" s="88" t="str">
        <x:v>농업인 복지서비스 현장</x:v>
      </x:c>
      <x:c r="P21" s="88" t="str">
        <x:v>곽동욱</x:v>
      </x:c>
      <x:c r="Q21" s="88" t="str">
        <x:v>2025 RISE 사업 실적자료</x:v>
      </x:c>
      <x:c r="R21" s="88" t="str"/>
      <x:c r="S21" s="89" t="n">
        <x:v>46222</x:v>
      </x:c>
      <x:c r="T21" s="88" t="str">
        <x:v>참여 학생 6명. RISE 사업은 식대·일비, 학생지원처는 재료비 지원. 장소와 협력기관 확인 필요</x:v>
      </x:c>
      <x:c r="U21" s="90" t="n">
        <x:v>1</x:v>
      </x:c>
      <x:c r="V21" s="80" t="n">
        <x:v>2025</x:v>
      </x:c>
      <x:c r="W21" s="81" t="str">
        <x:v>최근_사례</x:v>
      </x:c>
      <x:c r="X21" s="81" t="str">
        <x:v>RISE 사업</x:v>
      </x:c>
      <x:c r="Y21" s="81" t="str"/>
      <x:c r="Z21" s="82" t="str">
        <x:v>최근사례</x:v>
      </x:c>
    </x:row>
    <x:row r="22" ht="34" customHeight="1">
      <x:c r="A22" s="87" t="str">
        <x:v>photo_next_2025_drone_club</x:v>
      </x:c>
      <x:c r="B22" s="88" t="str">
        <x:v>동아리</x:v>
      </x:c>
      <x:c r="C22" s="88" t="str">
        <x:v>드론 운용 동아리</x:v>
      </x:c>
      <x:c r="D22" s="88" t="str">
        <x:v>완료</x:v>
      </x:c>
      <x:c r="E22" s="89" t="n">
        <x:v>45992</x:v>
      </x:c>
      <x:c r="F22" s="89" t="n">
        <x:v>46022</x:v>
      </x:c>
      <x:c r="G22" s="88" t="str">
        <x:v>2025년 12월</x:v>
      </x:c>
      <x:c r="H22" s="88" t="str">
        <x:v>드론 운용과 항공촬영 실습을 통해 새로운 시점의 영상 촬영 및 제작 역량을 강화한 기술 기반 동아리</x:v>
      </x:c>
      <x:c r="I22" s="88" t="str">
        <x:v>드론 조종, 항공 촬영, 촬영 데이터 관리와 영상 제작 실습</x:v>
      </x:c>
      <x:c r="J22" s="88" t="str">
        <x:v>항공 사진·영상 및 실습 결과물</x:v>
      </x:c>
      <x:c r="K22" s="88" t="str">
        <x:v>video</x:v>
      </x:c>
      <x:c r="L22" s="88" t="str">
        <x:v>documentary</x:v>
      </x:c>
      <x:c r="M22" s="88" t="str">
        <x:v>cinematography;camera;video;field;production;team;showreel</x:v>
      </x:c>
      <x:c r="N22" s="88" t="str">
        <x:v>드론 운용부터 항공영상 제작까지 영상 기술의 전 과정을 실습</x:v>
      </x:c>
      <x:c r="O22" s="88" t="str">
        <x:v>광주대학교 및 외부 촬영 현장</x:v>
      </x:c>
      <x:c r="P22" s="88" t="str">
        <x:v>윤태준</x:v>
      </x:c>
      <x:c r="Q22" s="88" t="str">
        <x:v>2025 RISE 사업 실적자료</x:v>
      </x:c>
      <x:c r="R22" s="88" t="str"/>
      <x:c r="S22" s="89" t="n">
        <x:v>46222</x:v>
      </x:c>
      <x:c r="T22" s="88" t="str">
        <x:v>정확한 운영 기간, 참여 인원 및 결과물 공개 여부 확인 필요. 예산: RISE 사업</x:v>
      </x:c>
      <x:c r="U22" s="90" t="n">
        <x:v>1</x:v>
      </x:c>
      <x:c r="V22" s="80" t="n">
        <x:v>2025</x:v>
      </x:c>
      <x:c r="W22" s="81" t="str">
        <x:v>최근_사례</x:v>
      </x:c>
      <x:c r="X22" s="81" t="str">
        <x:v>RISE 사업</x:v>
      </x:c>
      <x:c r="Y22" s="81" t="str"/>
      <x:c r="Z22" s="82" t="str">
        <x:v>최근사례</x:v>
      </x:c>
    </x:row>
    <x:row r="23" ht="34" customHeight="1">
      <x:c r="A23" s="87" t="str">
        <x:v>photo_next_2025_gigapixel_workshop</x:v>
      </x:c>
      <x:c r="B23" s="88" t="str">
        <x:v>전문가강좌</x:v>
      </x:c>
      <x:c r="C23" s="88" t="str">
        <x:v>기가픽셀 이미지 생성 전문가 강좌</x:v>
      </x:c>
      <x:c r="D23" s="88" t="str">
        <x:v>완료</x:v>
      </x:c>
      <x:c r="E23" s="89" t="n">
        <x:v>45931</x:v>
      </x:c>
      <x:c r="F23" s="89" t="n">
        <x:v>45961</x:v>
      </x:c>
      <x:c r="G23" s="88" t="str">
        <x:v>2025년 10월·총 24시간</x:v>
      </x:c>
      <x:c r="H23" s="88" t="str">
        <x:v>고해상도 기가픽셀 이미지의 촬영·합성·출력 과정을 익히는 24시간 집중 전문가 강좌</x:v>
      </x:c>
      <x:c r="I23" s="88" t="str">
        <x:v>다중 이미지 촬영, 스티칭, 고해상도 이미지 생성과 출력 실습</x:v>
      </x:c>
      <x:c r="J23" s="88" t="str">
        <x:v>기가픽셀 이미지</x:v>
      </x:c>
      <x:c r="K23" s="88" t="str">
        <x:v>art_photo</x:v>
      </x:c>
      <x:c r="L23" s="88" t="str">
        <x:v>commercial</x:v>
      </x:c>
      <x:c r="M23" s="88" t="str">
        <x:v>digital_image;photography;editing;post_production;production;portfolio</x:v>
      </x:c>
      <x:c r="N23" s="88" t="str">
        <x:v>고해상도 이미지 제작 기술을 예술사진과 상업사진 결과물에 적용</x:v>
      </x:c>
      <x:c r="O23" s="88" t="str">
        <x:v>광주대학교</x:v>
      </x:c>
      <x:c r="P23" s="88" t="str">
        <x:v>윤태준</x:v>
      </x:c>
      <x:c r="Q23" s="88" t="str">
        <x:v>2025 RISE 사업 실적자료</x:v>
      </x:c>
      <x:c r="R23" s="88" t="str"/>
      <x:c r="S23" s="89" t="n">
        <x:v>46222</x:v>
      </x:c>
      <x:c r="T23" s="88" t="str">
        <x:v>총 24시간. 강사명, 세부 일정 및 공식 자료 URL 확인 필요. 예산: RISE 사업</x:v>
      </x:c>
      <x:c r="U23" s="90" t="n">
        <x:v>1</x:v>
      </x:c>
      <x:c r="V23" s="80" t="n">
        <x:v>2025</x:v>
      </x:c>
      <x:c r="W23" s="81" t="str">
        <x:v>최근_사례</x:v>
      </x:c>
      <x:c r="X23" s="81" t="str">
        <x:v>RISE 사업</x:v>
      </x:c>
      <x:c r="Y23" s="81" t="str"/>
      <x:c r="Z23" s="82" t="str">
        <x:v>최근사례</x:v>
      </x:c>
    </x:row>
    <x:row r="24" ht="34" customHeight="1">
      <x:c r="A24" s="87" t="str">
        <x:v>photo_next_2025_ai_photo_3d_workshop</x:v>
      </x:c>
      <x:c r="B24" s="88" t="str">
        <x:v>전문가강좌</x:v>
      </x:c>
      <x:c r="C24" s="88" t="str">
        <x:v>AI 사진·3D 영상 이미지 생성 전문가 강좌</x:v>
      </x:c>
      <x:c r="D24" s="88" t="str">
        <x:v>완료</x:v>
      </x:c>
      <x:c r="E24" s="89" t="n">
        <x:v>45962</x:v>
      </x:c>
      <x:c r="F24" s="89" t="n">
        <x:v>45991</x:v>
      </x:c>
      <x:c r="G24" s="88" t="str">
        <x:v>2025년 11월·총 24시간</x:v>
      </x:c>
      <x:c r="H24" s="88" t="str">
        <x:v>생성형 AI와 3D 기술을 활용해 사진 및 영상 이미지를 제작하는 24시간 집중 전문가 강좌</x:v>
      </x:c>
      <x:c r="I24" s="88" t="str">
        <x:v>AI 이미지 생성, 3D 장면 구성, 사진·영상 결과물 제작 실습</x:v>
      </x:c>
      <x:c r="J24" s="88" t="str">
        <x:v>AI·3D 기반 이미지 및 영상</x:v>
      </x:c>
      <x:c r="K24" s="88" t="str">
        <x:v>video</x:v>
      </x:c>
      <x:c r="L24" s="88" t="str">
        <x:v>art_photo</x:v>
      </x:c>
      <x:c r="M24" s="88" t="str">
        <x:v>digital_image;media_art;video;art_photo;production;post_production;portfolio</x:v>
      </x:c>
      <x:c r="N24" s="88" t="str">
        <x:v>생성형 AI와 3D 기술을 결합해 새로운 이미지 제작 방식을 실험</x:v>
      </x:c>
      <x:c r="O24" s="88" t="str">
        <x:v>광주대학교</x:v>
      </x:c>
      <x:c r="P24" s="88" t="str">
        <x:v>윤태준</x:v>
      </x:c>
      <x:c r="Q24" s="88" t="str">
        <x:v>2025 RISE 사업 실적자료</x:v>
      </x:c>
      <x:c r="R24" s="88" t="str"/>
      <x:c r="S24" s="89" t="n">
        <x:v>46222</x:v>
      </x:c>
      <x:c r="T24" s="88" t="str">
        <x:v>총 24시간. 강사명, 사용 소프트웨어, 세부 일정 및 공식 URL 확인 필요. 예산: RISE 사업</x:v>
      </x:c>
      <x:c r="U24" s="90" t="n">
        <x:v>1</x:v>
      </x:c>
      <x:c r="V24" s="80" t="n">
        <x:v>2025</x:v>
      </x:c>
      <x:c r="W24" s="81" t="str">
        <x:v>최근_사례</x:v>
      </x:c>
      <x:c r="X24" s="81" t="str">
        <x:v>RISE 사업</x:v>
      </x:c>
      <x:c r="Y24" s="81" t="str"/>
      <x:c r="Z24" s="82" t="str">
        <x:v>최근사례</x:v>
      </x:c>
    </x:row>
    <x:row r="25" ht="34" customHeight="1">
      <x:c r="A25" s="87" t="str">
        <x:v>photo_next_2025_editorial_design_workshop</x:v>
      </x:c>
      <x:c r="B25" s="88" t="str">
        <x:v>전문가강좌</x:v>
      </x:c>
      <x:c r="C25" s="88" t="str">
        <x:v>사진가를 위한 편집디자인 전문가 강좌</x:v>
      </x:c>
      <x:c r="D25" s="88" t="str">
        <x:v>완료</x:v>
      </x:c>
      <x:c r="E25" s="89" t="n">
        <x:v>45962</x:v>
      </x:c>
      <x:c r="F25" s="89" t="n">
        <x:v>45991</x:v>
      </x:c>
      <x:c r="G25" s="88" t="str">
        <x:v>2025년 11월·총 29시간</x:v>
      </x:c>
      <x:c r="H25" s="88" t="str">
        <x:v>사진 편집, 시퀀싱, 레이아웃과 인쇄물 제작을 다루는 29시간 집중 편집디자인 강좌</x:v>
      </x:c>
      <x:c r="I25" s="88" t="str">
        <x:v>이미지 선별, 시퀀싱, 편집 레이아웃과 인쇄물 제작 실습</x:v>
      </x:c>
      <x:c r="J25" s="88" t="str">
        <x:v>포토북·포트폴리오 편집 시안</x:v>
      </x:c>
      <x:c r="K25" s="88" t="str">
        <x:v>art_photo</x:v>
      </x:c>
      <x:c r="L25" s="88" t="str">
        <x:v>commercial</x:v>
      </x:c>
      <x:c r="M25" s="88" t="str">
        <x:v>editing;sequencing;photobook;portfolio;planning;production;digital_image</x:v>
      </x:c>
      <x:c r="N25" s="88" t="str">
        <x:v>사진을 개별 이미지에서 편집된 서사와 출판 결과물로 확장</x:v>
      </x:c>
      <x:c r="O25" s="88" t="str">
        <x:v>광주대학교</x:v>
      </x:c>
      <x:c r="P25" s="88" t="str">
        <x:v>윤태준</x:v>
      </x:c>
      <x:c r="Q25" s="88" t="str">
        <x:v>2025 RISE 사업 실적자료</x:v>
      </x:c>
      <x:c r="R25" s="88" t="str"/>
      <x:c r="S25" s="89" t="n">
        <x:v>46222</x:v>
      </x:c>
      <x:c r="T25" s="88" t="str">
        <x:v>총 29시간. 강사명, 세부 일정 및 최종 결과물 확인 필요. 예산: RISE 사업</x:v>
      </x:c>
      <x:c r="U25" s="90" t="n">
        <x:v>1</x:v>
      </x:c>
      <x:c r="V25" s="80" t="n">
        <x:v>2025</x:v>
      </x:c>
      <x:c r="W25" s="81" t="str">
        <x:v>최근_사례</x:v>
      </x:c>
      <x:c r="X25" s="81" t="str">
        <x:v>RISE 사업</x:v>
      </x:c>
      <x:c r="Y25" s="81" t="str"/>
      <x:c r="Z25" s="82" t="str">
        <x:v>최근사례</x:v>
      </x:c>
    </x:row>
    <x:row r="26" ht="34" customHeight="1">
      <x:c r="A26" s="87" t="str">
        <x:v>photo_next_2025_gigapixel_capstone</x:v>
      </x:c>
      <x:c r="B26" s="88" t="str">
        <x:v>교과</x:v>
      </x:c>
      <x:c r="C26" s="88" t="str">
        <x:v>AI 기반 기가픽셀 이미지 생성 캡스톤디자인</x:v>
      </x:c>
      <x:c r="D26" s="88" t="str">
        <x:v>완료</x:v>
      </x:c>
      <x:c r="E26" s="89" t="n">
        <x:v>45901</x:v>
      </x:c>
      <x:c r="F26" s="89" t="n">
        <x:v>46022</x:v>
      </x:c>
      <x:c r="G26" s="88" t="str">
        <x:v>2025년 9월~12월</x:v>
      </x:c>
      <x:c r="H26" s="88" t="str">
        <x:v>AI 기반 기가픽셀 이미지 생성 시스템을 개발하고 실제 작품 제작에 적용한 캡스톤디자인 프로젝트</x:v>
      </x:c>
      <x:c r="I26" s="88" t="str">
        <x:v>시스템 기획, 이미지 생성 워크플로 설계, 테스트와 작품 제작</x:v>
      </x:c>
      <x:c r="J26" s="88" t="str">
        <x:v>AI 기가픽셀 이미지 생성 시스템 및 작품</x:v>
      </x:c>
      <x:c r="K26" s="88" t="str">
        <x:v>art_photo</x:v>
      </x:c>
      <x:c r="L26" s="88" t="str">
        <x:v>video;commercial</x:v>
      </x:c>
      <x:c r="M26" s="88" t="str">
        <x:v>art_photo;digital_image;media_art;project;planning;production;collaboration;portfolio</x:v>
      </x:c>
      <x:c r="N26" s="88" t="str">
        <x:v>AI 이미지 기술을 작품 제작 시스템으로 구현하며 기획·개발·제작을 통합 경험</x:v>
      </x:c>
      <x:c r="O26" s="88" t="str">
        <x:v>광주대학교</x:v>
      </x:c>
      <x:c r="P26" s="88" t="str">
        <x:v>윤태준</x:v>
      </x:c>
      <x:c r="Q26" s="88" t="str">
        <x:v>2025 RISE 사업 실적자료</x:v>
      </x:c>
      <x:c r="R26" s="88" t="str"/>
      <x:c r="S26" s="89" t="n">
        <x:v>46222</x:v>
      </x:c>
      <x:c r="T26" s="88" t="str">
        <x:v>교과목명, 담당교수, 참여 학생 수와 최종 결과물 확인 필요. 예산: RISE 사업</x:v>
      </x:c>
      <x:c r="U26" s="90" t="n">
        <x:v>1</x:v>
      </x:c>
      <x:c r="V26" s="80" t="n">
        <x:v>2025</x:v>
      </x:c>
      <x:c r="W26" s="81" t="str">
        <x:v>최근_사례</x:v>
      </x:c>
      <x:c r="X26" s="81" t="str">
        <x:v>RISE 사업</x:v>
      </x:c>
      <x:c r="Y26" s="81" t="str"/>
      <x:c r="Z26" s="82" t="str">
        <x:v>최근사례</x:v>
      </x:c>
    </x:row>
    <x:row r="27" ht="34" customHeight="1">
      <x:c r="A27" s="87" t="str">
        <x:v>photo_next_2025_retouch_printing</x:v>
      </x:c>
      <x:c r="B27" s="88" t="str">
        <x:v>동아리</x:v>
      </x:c>
      <x:c r="C27" s="88" t="str">
        <x:v>사진 리터칭·프린팅 동아리</x:v>
      </x:c>
      <x:c r="D27" s="88" t="str">
        <x:v>완료</x:v>
      </x:c>
      <x:c r="E27" s="89" t="n">
        <x:v>45992</x:v>
      </x:c>
      <x:c r="F27" s="89" t="n">
        <x:v>46022</x:v>
      </x:c>
      <x:c r="G27" s="88" t="str">
        <x:v>2025년 12월</x:v>
      </x:c>
      <x:c r="H27" s="88" t="str">
        <x:v>디지털 이미지 편집부터 색관리와 출력까지 사진 제작의 전 과정을 실습한 동아리 프로젝트</x:v>
      </x:c>
      <x:c r="I27" s="88" t="str">
        <x:v>리터칭, 색보정, 출력 설정, 프린팅과 결과물 품질 검수</x:v>
      </x:c>
      <x:c r="J27" s="88" t="str">
        <x:v>보정 이미지 및 사진 출력물</x:v>
      </x:c>
      <x:c r="K27" s="88" t="str">
        <x:v>commercial</x:v>
      </x:c>
      <x:c r="L27" s="88" t="str">
        <x:v>art_photo</x:v>
      </x:c>
      <x:c r="M27" s="88" t="str">
        <x:v>editing;color_grading;post_production;digital_image;photography;portfolio;studio</x:v>
      </x:c>
      <x:c r="N27" s="88" t="str">
        <x:v>화면 속 이미지를 최종 출력물로 완성하는 후반작업과 프린팅 역량 강화</x:v>
      </x:c>
      <x:c r="O27" s="88" t="str">
        <x:v>광주대학교</x:v>
      </x:c>
      <x:c r="P27" s="88" t="str">
        <x:v>곽동욱</x:v>
      </x:c>
      <x:c r="Q27" s="88" t="str">
        <x:v>2025 RISE 사업 실적자료</x:v>
      </x:c>
      <x:c r="R27" s="88" t="str"/>
      <x:c r="S27" s="89" t="n">
        <x:v>46222</x:v>
      </x:c>
      <x:c r="T27" s="88" t="str">
        <x:v>참여 인원, 사용 장비, 출력 규격 및 운영 기간 확인 필요. 예산: RISE 사업</x:v>
      </x:c>
      <x:c r="U27" s="90" t="n">
        <x:v>2</x:v>
      </x:c>
      <x:c r="V27" s="80" t="n">
        <x:v>2025</x:v>
      </x:c>
      <x:c r="W27" s="81" t="str">
        <x:v>최근_사례</x:v>
      </x:c>
      <x:c r="X27" s="81" t="str">
        <x:v>RISE 사업</x:v>
      </x:c>
      <x:c r="Y27" s="81" t="str"/>
      <x:c r="Z27" s="82" t="str">
        <x:v>최근사례</x:v>
      </x:c>
    </x:row>
    <x:row r="28" ht="34" customHeight="1">
      <x:c r="A28" s="87" t="str">
        <x:v>photo_next_2025_photo_video_club</x:v>
      </x:c>
      <x:c r="B28" s="88" t="str">
        <x:v>동아리</x:v>
      </x:c>
      <x:c r="C28" s="88" t="str">
        <x:v>사진·영상 실무 동아리</x:v>
      </x:c>
      <x:c r="D28" s="88" t="str">
        <x:v>완료</x:v>
      </x:c>
      <x:c r="E28" s="89" t="n">
        <x:v>45992</x:v>
      </x:c>
      <x:c r="F28" s="89" t="n">
        <x:v>46022</x:v>
      </x:c>
      <x:c r="G28" s="88" t="str">
        <x:v>2025년 12월</x:v>
      </x:c>
      <x:c r="H28" s="88" t="str">
        <x:v>사진·영상 실무 역량을 강화하고 산업 현장에서 요구되는 제작 기술과 진로 방향을 탐색한 동아리</x:v>
      </x:c>
      <x:c r="I28" s="88" t="str">
        <x:v>팀 프로젝트 기획, 촬영, 편집, 결과물 발표와 진로 탐색</x:v>
      </x:c>
      <x:c r="J28" s="88" t="str">
        <x:v>사진·영상 프로젝트 결과물</x:v>
      </x:c>
      <x:c r="K28" s="88" t="str">
        <x:v>video</x:v>
      </x:c>
      <x:c r="L28" s="88" t="str">
        <x:v>commercial;documentary</x:v>
      </x:c>
      <x:c r="M28" s="88" t="str">
        <x:v>photography;video;project;team;production;editing;exploration;portfolio</x:v>
      </x:c>
      <x:c r="N28" s="88" t="str">
        <x:v>사진과 영상의 제작 전 과정을 팀 프로젝트로 수행하며 진로 포트폴리오를 구축</x:v>
      </x:c>
      <x:c r="O28" s="88" t="str">
        <x:v>광주대학교</x:v>
      </x:c>
      <x:c r="P28" s="88" t="str">
        <x:v>윤태준</x:v>
      </x:c>
      <x:c r="Q28" s="88" t="str">
        <x:v>2025 RISE 사업 실적자료</x:v>
      </x:c>
      <x:c r="R28" s="88" t="str"/>
      <x:c r="S28" s="89" t="n">
        <x:v>46222</x:v>
      </x:c>
      <x:c r="T28" s="88" t="str">
        <x:v>원문상 동아리의 고유 명칭이 불명확함. 참여 인원과 세부 프로그램 확인 필요. 예산: RISE 사업</x:v>
      </x:c>
      <x:c r="U28" s="90" t="n">
        <x:v>3</x:v>
      </x:c>
      <x:c r="V28" s="80" t="n">
        <x:v>2025</x:v>
      </x:c>
      <x:c r="W28" s="81" t="str">
        <x:v>최근_사례</x:v>
      </x:c>
      <x:c r="X28" s="81" t="str">
        <x:v>RISE 사업</x:v>
      </x:c>
      <x:c r="Y28" s="81" t="str"/>
      <x:c r="Z28" s="82" t="str">
        <x:v>최근사례</x:v>
      </x:c>
    </x:row>
    <x:row r="29" ht="34" customHeight="1">
      <x:c r="A29" s="87" t="str">
        <x:v>photo_next_2025_capacity_camp</x:v>
      </x:c>
      <x:c r="B29" s="88" t="str">
        <x:v>캠프</x:v>
      </x:c>
      <x:c r="C29" s="88" t="str">
        <x:v>사진·영상 역량강화캠프</x:v>
      </x:c>
      <x:c r="D29" s="88" t="str">
        <x:v>완료</x:v>
      </x:c>
      <x:c r="E29" s="89" t="n">
        <x:v>45992</x:v>
      </x:c>
      <x:c r="F29" s="89" t="n">
        <x:v>46022</x:v>
      </x:c>
      <x:c r="G29" s="88" t="str">
        <x:v>2025년 12월</x:v>
      </x:c>
      <x:c r="H29" s="88" t="str">
        <x:v>사진·영상 실무와 산업 대응 기술을 집중적으로 습득하고 진로를 탐색하는 단기 집중 캠프</x:v>
      </x:c>
      <x:c r="I29" s="88" t="str">
        <x:v>실무 워크숍, 산업 기술 실습, 결과물 제작 및 진로 탐색</x:v>
      </x:c>
      <x:c r="J29" s="88" t="str">
        <x:v>실습 결과물 및 진로 포트폴리오</x:v>
      </x:c>
      <x:c r="K29" s="88" t="str">
        <x:v>commercial</x:v>
      </x:c>
      <x:c r="L29" s="88" t="str">
        <x:v>video;art_photo;documentary</x:v>
      </x:c>
      <x:c r="M29" s="88" t="str">
        <x:v>photography;video;portfolio;exploration;production;project;collaboration</x:v>
      </x:c>
      <x:c r="N29" s="88" t="str">
        <x:v>산업 현장에 필요한 제작 기술을 집중적으로 익히고 개인 진로와 연결</x:v>
      </x:c>
      <x:c r="O29" s="88" t="str">
        <x:v>광주대학교 및 캠프 운영 장소</x:v>
      </x:c>
      <x:c r="P29" s="88" t="str">
        <x:v>곽동욱</x:v>
      </x:c>
      <x:c r="Q29" s="88" t="str">
        <x:v>2025 RISE 사업 실적자료</x:v>
      </x:c>
      <x:c r="R29" s="88" t="str"/>
      <x:c r="S29" s="89" t="n">
        <x:v>46222</x:v>
      </x:c>
      <x:c r="T29" s="88" t="str">
        <x:v>캠프 기간, 장소, 강사, 참여 인원과 세부 프로그램 확인 필요. 예산: RISE 사업</x:v>
      </x:c>
      <x:c r="U29" s="90" t="n">
        <x:v>2</x:v>
      </x:c>
      <x:c r="V29" s="80" t="n">
        <x:v>2025</x:v>
      </x:c>
      <x:c r="W29" s="81" t="str">
        <x:v>최근_사례</x:v>
      </x:c>
      <x:c r="X29" s="81" t="str">
        <x:v>RISE 사업</x:v>
      </x:c>
      <x:c r="Y29" s="81" t="str"/>
      <x:c r="Z29" s="82" t="str">
        <x:v>최근사례</x:v>
      </x:c>
    </x:row>
    <x:row r="30" ht="34" customHeight="1">
      <x:c r="A30" s="87" t="str">
        <x:v>photo_next_2025_gwangju_station_exhibition</x:v>
      </x:c>
      <x:c r="B30" s="88" t="str">
        <x:v>동아리</x:v>
      </x:c>
      <x:c r="C30" s="88" t="str">
        <x:v>광주역 전시 프로젝트 동아리</x:v>
      </x:c>
      <x:c r="D30" s="88" t="str">
        <x:v>완료</x:v>
      </x:c>
      <x:c r="E30" s="89" t="n">
        <x:v>45992</x:v>
      </x:c>
      <x:c r="F30" s="89" t="n">
        <x:v>46022</x:v>
      </x:c>
      <x:c r="G30" s="88" t="str">
        <x:v>2025년 12월</x:v>
      </x:c>
      <x:c r="H30" s="88" t="str">
        <x:v>광주역을 주제로 지역 조사, 작품 제작, 전시 기획과 운영을 수행한 장소 기반 전시 프로젝트</x:v>
      </x:c>
      <x:c r="I30" s="88" t="str">
        <x:v>광주역 리서치, 사진·영상 제작, 전시 구성과 현장 운영</x:v>
      </x:c>
      <x:c r="J30" s="88" t="str">
        <x:v>광주역 주제 전시 및 작품</x:v>
      </x:c>
      <x:c r="K30" s="88" t="str">
        <x:v>art_photo</x:v>
      </x:c>
      <x:c r="L30" s="88" t="str">
        <x:v>documentary;video</x:v>
      </x:c>
      <x:c r="M30" s="88" t="str">
        <x:v>exhibition;local_culture;research;photography;video;cultural_planning;project;team</x:v>
      </x:c>
      <x:c r="N30" s="88" t="str">
        <x:v>지역 장소를 조사하고 작품 제작부터 전시 운영까지 전 과정을 경험</x:v>
      </x:c>
      <x:c r="O30" s="88" t="str">
        <x:v>광주역</x:v>
      </x:c>
      <x:c r="P30" s="88" t="str">
        <x:v>윤태준</x:v>
      </x:c>
      <x:c r="Q30" s="88" t="str">
        <x:v>2025 RISE 사업 실적자료</x:v>
      </x:c>
      <x:c r="R30" s="88" t="str"/>
      <x:c r="S30" s="89" t="n">
        <x:v>46222</x:v>
      </x:c>
      <x:c r="T30" s="88" t="str">
        <x:v>전시명, 전시장소, 참여 인원, 담당교수 및 공식 기록 URL 확인 필요. 예산: RISE 사업</x:v>
      </x:c>
      <x:c r="U30" s="90" t="n">
        <x:v>1</x:v>
      </x:c>
      <x:c r="V30" s="80" t="n">
        <x:v>2025</x:v>
      </x:c>
      <x:c r="W30" s="81" t="str">
        <x:v>최근_사례</x:v>
      </x:c>
      <x:c r="X30" s="81" t="str">
        <x:v>RISE 사업</x:v>
      </x:c>
      <x:c r="Y30" s="81" t="str"/>
      <x:c r="Z30" s="82" t="str">
        <x:v>최근사례</x:v>
      </x:c>
    </x:row>
    <x:row r="31" ht="34" customHeight="1">
      <x:c r="A31" s="87" t="str">
        <x:v>photo_next_2024_smart_drone_3d_capacity</x:v>
      </x:c>
      <x:c r="B31" s="88" t="str">
        <x:v>학과역량</x:v>
      </x:c>
      <x:c r="C31" s="88" t="str">
        <x:v>스마트 드론 활용 3D데이터·전문인력양성</x:v>
      </x:c>
      <x:c r="D31" s="88" t="str">
        <x:v>완료</x:v>
      </x:c>
      <x:c r="E31" s="89" t="n">
        <x:v>45352</x:v>
      </x:c>
      <x:c r="F31" s="89" t="n">
        <x:v>45716</x:v>
      </x:c>
      <x:c r="G31" s="88" t="str">
        <x:v>2024년 3월~2025년 2월</x:v>
      </x:c>
      <x:c r="H31" s="88" t="str">
        <x:v>드론 운용, 3D 데이터 취득·처리, 영상 콘텐츠 제작, 자격증·인턴십·프로젝트랩을 통합 운영한 학과 차원의 인력양성 사업</x:v>
      </x:c>
      <x:c r="I31" s="88" t="str">
        <x:v>드론 운용과 안전교육, 3D 모델링·렌더링, 스캐닝 데이터 취득, 프로젝트랩 및 인턴십에 참여</x:v>
      </x:c>
      <x:c r="J31" s="88" t="str">
        <x:v>드론·3D 교육과정, 프로젝트 결과물, 자격증 취득, 인턴십·취창업 성과</x:v>
      </x:c>
      <x:c r="K31" s="88" t="str">
        <x:v>video</x:v>
      </x:c>
      <x:c r="L31" s="88" t="str">
        <x:v>commercial;art_photo</x:v>
      </x:c>
      <x:c r="M31" s="88" t="str">
        <x:v>video;cinematography;digital_image;media_art;project;production;portfolio;collaboration;field</x:v>
      </x:c>
      <x:c r="N31" s="88" t="str">
        <x:v>PHOTO:NEXT의 영상·기술 교육이 단발성 프로그램이 아니라 드론·3D·실감미디어 분야의 축적된 학과 역량 위에서 운영되고 있음을 보여주는 이전 사업 경험</x:v>
      </x:c>
      <x:c r="O31" s="88" t="str">
        <x:v>광주대학교 사진영상학과;㈜인디고;AI메타버스ICC 비즈니스센터</x:v>
      </x:c>
      <x:c r="P31" s="88" t="str">
        <x:v>윤태준</x:v>
      </x:c>
      <x:c r="Q31" s="88" t="str">
        <x:v>2024 스마트 드론 활용 3D데이터 및 전문인력양성 결과보고서</x:v>
      </x:c>
      <x:c r="R31" s="88" t="str"/>
      <x:c r="S31" s="89" t="n">
        <x:v>46222</x:v>
      </x:c>
      <x:c r="T31" s="88" t="str">
        <x:v>2025년도 이전 학과 역량 자료. 메인 노출 빈도 낮음. 개별 프로그램을 포괄하는 상위 사업으로 분류</x:v>
      </x:c>
      <x:c r="U31" s="90" t="n">
        <x:v>3</x:v>
      </x:c>
      <x:c r="V31" s="80" t="n">
        <x:v>2024</x:v>
      </x:c>
      <x:c r="W31" s="81" t="str">
        <x:v>축적_경험</x:v>
      </x:c>
      <x:c r="X31" s="81" t="str">
        <x:v>스마트 드론·3D 인력양성</x:v>
      </x:c>
      <x:c r="Y31" s="81" t="str"/>
      <x:c r="Z31" s="82" t="str">
        <x:v>짧은경험</x:v>
      </x:c>
    </x:row>
    <x:row r="32" ht="34" customHeight="1">
      <x:c r="A32" s="91" t="str">
        <x:v>photo_next_2024_cinematic_drone_training</x:v>
      </x:c>
      <x:c r="B32" s="81" t="str">
        <x:v>이전경험</x:v>
      </x:c>
      <x:c r="C32" s="81" t="str">
        <x:v>시네마틱 드론 영상촬영 교육</x:v>
      </x:c>
      <x:c r="D32" s="81" t="str">
        <x:v>완료</x:v>
      </x:c>
      <x:c r="E32" s="92" t="n">
        <x:v>45575</x:v>
      </x:c>
      <x:c r="F32" s="92" t="n">
        <x:v>45611</x:v>
      </x:c>
      <x:c r="G32" s="81" t="str">
        <x:v>2024년 10월 10일~11월 15일</x:v>
      </x:c>
      <x:c r="H32" s="81" t="str">
        <x:v>시네마틱 드론 운용과 영상촬영 기법을 실습 중심으로 익힌 전문 교육 프로그램</x:v>
      </x:c>
      <x:c r="I32" s="81" t="str">
        <x:v>드론 조종, 비행 동선 설계, 항공 영상촬영과 시네마틱 장면 구성 실습에 8명 참여</x:v>
      </x:c>
      <x:c r="J32" s="81" t="str">
        <x:v>시네마틱 드론 영상 및 촬영 실습 결과물</x:v>
      </x:c>
      <x:c r="K32" s="81" t="str">
        <x:v>video</x:v>
      </x:c>
      <x:c r="L32" s="81" t="str">
        <x:v>commercial</x:v>
      </x:c>
      <x:c r="M32" s="81" t="str">
        <x:v>cinematography;camera;video;field;production;showreel;team</x:v>
      </x:c>
      <x:c r="N32" s="81" t="str">
        <x:v>드론 조종을 넘어 항공영상의 장면 설계와 영상미를 함께 학습한 이전 기술교육 경험</x:v>
      </x:c>
      <x:c r="O32" s="81" t="str">
        <x:v>광주대학교 및 드론 촬영 현장</x:v>
      </x:c>
      <x:c r="P32" s="81" t="str">
        <x:v>윤태준</x:v>
      </x:c>
      <x:c r="Q32" s="81" t="str">
        <x:v>2024 스마트 드론 활용 3D데이터 및 전문인력양성 결과보고서</x:v>
      </x:c>
      <x:c r="R32" s="81" t="str"/>
      <x:c r="S32" s="92" t="n">
        <x:v>46222</x:v>
      </x:c>
      <x:c r="T32" s="81" t="str">
        <x:v>참여 8명, 결과보고서 작성 시점에는 예정으로 표기. 2025년도 이전 경험으로 메인 노출 빈도 낮음</x:v>
      </x:c>
      <x:c r="U32" s="80" t="n">
        <x:v>3</x:v>
      </x:c>
      <x:c r="V32" s="80" t="n">
        <x:v>2024</x:v>
      </x:c>
      <x:c r="W32" s="81" t="str">
        <x:v>축적_경험</x:v>
      </x:c>
      <x:c r="X32" s="81" t="str">
        <x:v>스마트 드론·3D 인력양성</x:v>
      </x:c>
      <x:c r="Y32" s="81" t="str"/>
      <x:c r="Z32" s="82" t="str">
        <x:v>짧은경험</x:v>
      </x:c>
    </x:row>
    <x:row r="33" ht="34" customHeight="1">
      <x:c r="A33" s="91" t="str">
        <x:v>photo_next_2024_ground_aerial_scanning</x:v>
      </x:c>
      <x:c r="B33" s="81" t="str">
        <x:v>이전경험</x:v>
      </x:c>
      <x:c r="C33" s="81" t="str">
        <x:v>지상·항공 스캐닝 데이터 취득 교육</x:v>
      </x:c>
      <x:c r="D33" s="81" t="str">
        <x:v>완료</x:v>
      </x:c>
      <x:c r="E33" s="92" t="n">
        <x:v>45580</x:v>
      </x:c>
      <x:c r="F33" s="92" t="n">
        <x:v>45617</x:v>
      </x:c>
      <x:c r="G33" s="81" t="str">
        <x:v>2024년 10월 15일~11월 21일</x:v>
      </x:c>
      <x:c r="H33" s="81" t="str">
        <x:v>지상 스캐너와 드론을 활용해 실제 공간의 3D 데이터를 취득하고 처리하는 장비 활용 교육</x:v>
      </x:c>
      <x:c r="I33" s="81" t="str">
        <x:v>지상·항공 스캐닝 장비 운용과 현장 데이터 취득 실습에 8명 참여</x:v>
      </x:c>
      <x:c r="J33" s="81" t="str">
        <x:v>공간 스캔 데이터 및 3D 데이터셋</x:v>
      </x:c>
      <x:c r="K33" s="81" t="str">
        <x:v>video</x:v>
      </x:c>
      <x:c r="L33" s="81" t="str">
        <x:v>documentary</x:v>
      </x:c>
      <x:c r="M33" s="81" t="str">
        <x:v>digital_image;field;camera;video;production;research;project</x:v>
      </x:c>
      <x:c r="N33" s="81" t="str">
        <x:v>현실 공간을 촬영 대상에서 측정·분석 가능한 데이터로 전환하는 학과의 기술적 기반을 보여주는 이전 경험</x:v>
      </x:c>
      <x:c r="O33" s="81" t="str">
        <x:v>광주대학교 및 외부 스캐닝 현장</x:v>
      </x:c>
      <x:c r="P33" s="81" t="str">
        <x:v>윤태준</x:v>
      </x:c>
      <x:c r="Q33" s="81" t="str">
        <x:v>2024 스마트 드론 활용 3D데이터 및 전문인력양성 결과보고서</x:v>
      </x:c>
      <x:c r="R33" s="81" t="str"/>
      <x:c r="S33" s="92" t="n">
        <x:v>46222</x:v>
      </x:c>
      <x:c r="T33" s="81" t="str">
        <x:v>참여 8명, 결과보고서 작성 시점에는 예정으로 표기. 2025년도 이전 경험으로 메인 노출 빈도 낮음</x:v>
      </x:c>
      <x:c r="U33" s="80" t="n">
        <x:v>3</x:v>
      </x:c>
      <x:c r="V33" s="80" t="n">
        <x:v>2024</x:v>
      </x:c>
      <x:c r="W33" s="81" t="str">
        <x:v>축적_경험</x:v>
      </x:c>
      <x:c r="X33" s="81" t="str">
        <x:v>스마트 드론·3D 인력양성</x:v>
      </x:c>
      <x:c r="Y33" s="81" t="str"/>
      <x:c r="Z33" s="82" t="str">
        <x:v>짧은경험</x:v>
      </x:c>
    </x:row>
    <x:row r="34" ht="34" customHeight="1">
      <x:c r="A34" s="91" t="str">
        <x:v>photo_next_2024_blender_basic</x:v>
      </x:c>
      <x:c r="B34" s="81" t="str">
        <x:v>이전경험</x:v>
      </x:c>
      <x:c r="C34" s="81" t="str">
        <x:v>Blender 3D 모델링·렌더링 실무 기초과정</x:v>
      </x:c>
      <x:c r="D34" s="81" t="str">
        <x:v>완료</x:v>
      </x:c>
      <x:c r="E34" s="92" t="n">
        <x:v>45468</x:v>
      </x:c>
      <x:c r="F34" s="92" t="n">
        <x:v>45491</x:v>
      </x:c>
      <x:c r="G34" s="81" t="str">
        <x:v>2024년 6월 25일~7월 18일</x:v>
      </x:c>
      <x:c r="H34" s="81" t="str">
        <x:v>Blender를 활용해 3D 모델링과 렌더링의 기초 개념과 제작 과정을 익힌 실무 교육</x:v>
      </x:c>
      <x:c r="I34" s="81" t="str">
        <x:v>기초 모델링, 재질·조명 설정, 렌더링 실습에 5명 참여</x:v>
      </x:c>
      <x:c r="J34" s="81" t="str">
        <x:v>기초 3D 모델 및 렌더 이미지</x:v>
      </x:c>
      <x:c r="K34" s="81" t="str">
        <x:v>video</x:v>
      </x:c>
      <x:c r="L34" s="81" t="str">
        <x:v>art_photo</x:v>
      </x:c>
      <x:c r="M34" s="81" t="str">
        <x:v>digital_image;media_art;production;post_production;portfolio;studio</x:v>
      </x:c>
      <x:c r="N34" s="81" t="str">
        <x:v>사진·영상 제작을 3D 공간과 렌더 이미지로 확장하기 위한 기초 기술교육 경험</x:v>
      </x:c>
      <x:c r="O34" s="81" t="str">
        <x:v>광주대학교</x:v>
      </x:c>
      <x:c r="P34" s="81" t="str">
        <x:v>윤태준</x:v>
      </x:c>
      <x:c r="Q34" s="81" t="str">
        <x:v>2024 스마트 드론 활용 3D데이터 및 전문인력양성 결과보고서</x:v>
      </x:c>
      <x:c r="R34" s="81" t="str"/>
      <x:c r="S34" s="92" t="n">
        <x:v>46222</x:v>
      </x:c>
      <x:c r="T34" s="81" t="str">
        <x:v>참여 5명, 달성 프로그램. 2025년도 이전 경험으로 메인 노출 빈도 낮음</x:v>
      </x:c>
      <x:c r="U34" s="80" t="n">
        <x:v>3</x:v>
      </x:c>
      <x:c r="V34" s="80" t="n">
        <x:v>2024</x:v>
      </x:c>
      <x:c r="W34" s="81" t="str">
        <x:v>축적_경험</x:v>
      </x:c>
      <x:c r="X34" s="81" t="str">
        <x:v>스마트 드론·3D 인력양성</x:v>
      </x:c>
      <x:c r="Y34" s="81" t="str"/>
      <x:c r="Z34" s="82" t="str">
        <x:v>짧은경험</x:v>
      </x:c>
    </x:row>
    <x:row r="35" ht="34" customHeight="1">
      <x:c r="A35" s="91" t="str">
        <x:v>photo_next_2024_blender_advanced</x:v>
      </x:c>
      <x:c r="B35" s="81" t="str">
        <x:v>이전경험</x:v>
      </x:c>
      <x:c r="C35" s="81" t="str">
        <x:v>Blender 3D 모델링·렌더링 실무 심화과정</x:v>
      </x:c>
      <x:c r="D35" s="81" t="str">
        <x:v>완료</x:v>
      </x:c>
      <x:c r="E35" s="92" t="n">
        <x:v>45496</x:v>
      </x:c>
      <x:c r="F35" s="92" t="n">
        <x:v>45524</x:v>
      </x:c>
      <x:c r="G35" s="81" t="str">
        <x:v>2024년 7월 23일~8월 20일</x:v>
      </x:c>
      <x:c r="H35" s="81" t="str">
        <x:v>Blender와 Unreal Engine을 활용해 고급 3D 모델링, 환경광원, 렌더링 기술을 익힌 심화 교육</x:v>
      </x:c>
      <x:c r="I35" s="81" t="str">
        <x:v>고급 모델링, 환경광원 구성, Unreal 기반 렌더링 실습에 5명 참여</x:v>
      </x:c>
      <x:c r="J35" s="81" t="str">
        <x:v>고급 3D 모델 및 환경 렌더 이미지</x:v>
      </x:c>
      <x:c r="K35" s="81" t="str">
        <x:v>video</x:v>
      </x:c>
      <x:c r="L35" s="81" t="str">
        <x:v>art_photo</x:v>
      </x:c>
      <x:c r="M35" s="81" t="str">
        <x:v>digital_image;media_art;lighting;production;post_production;portfolio</x:v>
      </x:c>
      <x:c r="N35" s="81" t="str">
        <x:v>3D 제작 기술을 공간 연출과 실감형 이미지 제작으로 심화한 이전 교육 경험</x:v>
      </x:c>
      <x:c r="O35" s="81" t="str">
        <x:v>광주대학교</x:v>
      </x:c>
      <x:c r="P35" s="81" t="str">
        <x:v>윤태준</x:v>
      </x:c>
      <x:c r="Q35" s="81" t="str">
        <x:v>2024 스마트 드론 활용 3D데이터 및 전문인력양성 결과보고서</x:v>
      </x:c>
      <x:c r="R35" s="81" t="str"/>
      <x:c r="S35" s="92" t="n">
        <x:v>46222</x:v>
      </x:c>
      <x:c r="T35" s="81" t="str">
        <x:v>참여 5명, 달성 프로그램. 2025년도 이전 경험으로 메인 노출 빈도 낮음</x:v>
      </x:c>
      <x:c r="U35" s="80" t="n">
        <x:v>3</x:v>
      </x:c>
      <x:c r="V35" s="80" t="n">
        <x:v>2024</x:v>
      </x:c>
      <x:c r="W35" s="81" t="str">
        <x:v>축적_경험</x:v>
      </x:c>
      <x:c r="X35" s="81" t="str">
        <x:v>스마트 드론·3D 인력양성</x:v>
      </x:c>
      <x:c r="Y35" s="81" t="str"/>
      <x:c r="Z35" s="82" t="str">
        <x:v>짧은경험</x:v>
      </x:c>
    </x:row>
    <x:row r="36" ht="34" customHeight="1">
      <x:c r="A36" s="91" t="str">
        <x:v>photo_next_2024_blender_professional</x:v>
      </x:c>
      <x:c r="B36" s="81" t="str">
        <x:v>이전경험</x:v>
      </x:c>
      <x:c r="C36" s="81" t="str">
        <x:v>Blender 3D 인력양성 전문응용과정</x:v>
      </x:c>
      <x:c r="D36" s="81" t="str">
        <x:v>완료</x:v>
      </x:c>
      <x:c r="E36" s="92" t="n">
        <x:v>45600</x:v>
      </x:c>
      <x:c r="F36" s="92" t="n">
        <x:v>45611</x:v>
      </x:c>
      <x:c r="G36" s="81" t="str">
        <x:v>2024년 11월 4일~11월 15일</x:v>
      </x:c>
      <x:c r="H36" s="81" t="str">
        <x:v>Unreal Engine 기반 환경 세팅과 고급 렌더링을 중심으로 진행한 3D 전문응용 교육</x:v>
      </x:c>
      <x:c r="I36" s="81" t="str">
        <x:v>환경 세팅, 고급 렌더링, 실무형 3D 콘텐츠 제작에 6명 참여</x:v>
      </x:c>
      <x:c r="J36" s="81" t="str">
        <x:v>전문응용 3D 콘텐츠 및 렌더 결과물</x:v>
      </x:c>
      <x:c r="K36" s="81" t="str">
        <x:v>video</x:v>
      </x:c>
      <x:c r="L36" s="81" t="str">
        <x:v>art_photo</x:v>
      </x:c>
      <x:c r="M36" s="81" t="str">
        <x:v>digital_image;media_art;production;post_production;portfolio;project</x:v>
      </x:c>
      <x:c r="N36" s="81" t="str">
        <x:v>기초·심화 교육 이후 실무 수준의 3D 콘텐츠 제작으로 연결한 이전 전문교육 경험</x:v>
      </x:c>
      <x:c r="O36" s="81" t="str">
        <x:v>광주대학교</x:v>
      </x:c>
      <x:c r="P36" s="81" t="str">
        <x:v>윤태준</x:v>
      </x:c>
      <x:c r="Q36" s="81" t="str">
        <x:v>2024 스마트 드론 활용 3D데이터 및 전문인력양성 결과보고서</x:v>
      </x:c>
      <x:c r="R36" s="81" t="str"/>
      <x:c r="S36" s="92" t="n">
        <x:v>46222</x:v>
      </x:c>
      <x:c r="T36" s="81" t="str">
        <x:v>참여 6명, 결과보고서 작성 시점에는 예정으로 표기. 2025년도 이전 경험으로 메인 노출 빈도 낮음</x:v>
      </x:c>
      <x:c r="U36" s="80" t="n">
        <x:v>3</x:v>
      </x:c>
      <x:c r="V36" s="80" t="n">
        <x:v>2024</x:v>
      </x:c>
      <x:c r="W36" s="81" t="str">
        <x:v>축적_경험</x:v>
      </x:c>
      <x:c r="X36" s="81" t="str">
        <x:v>스마트 드론·3D 인력양성</x:v>
      </x:c>
      <x:c r="Y36" s="81" t="str"/>
      <x:c r="Z36" s="82" t="str">
        <x:v>짧은경험</x:v>
      </x:c>
    </x:row>
    <x:row r="37" ht="34" customHeight="1">
      <x:c r="A37" s="91" t="str">
        <x:v>photo_next_2024_video_startup</x:v>
      </x:c>
      <x:c r="B37" s="81" t="str">
        <x:v>이전경험</x:v>
      </x:c>
      <x:c r="C37" s="81" t="str">
        <x:v>영상 콘텐츠 창업 프로그램</x:v>
      </x:c>
      <x:c r="D37" s="81" t="str">
        <x:v>완료</x:v>
      </x:c>
      <x:c r="E37" s="92" t="n">
        <x:v>45433</x:v>
      </x:c>
      <x:c r="F37" s="92" t="n">
        <x:v>45440</x:v>
      </x:c>
      <x:c r="G37" s="81" t="str">
        <x:v>2024년 5월 21일~5월 28일</x:v>
      </x:c>
      <x:c r="H37" s="81" t="str">
        <x:v>영상 콘텐츠 시장 구조와 지역 사진·영상 시장을 분석하고 창업 아이디어를 구체화한 프로그램</x:v>
      </x:c>
      <x:c r="I37" s="81" t="str">
        <x:v>TAM·SAM·SOM 시장분석, 지역시장 조사, 영상 콘텐츠 사업모델 구상에 2명 참여</x:v>
      </x:c>
      <x:c r="J37" s="81" t="str">
        <x:v>시장분석 자료 및 창업 사업모델 초안</x:v>
      </x:c>
      <x:c r="K37" s="81" t="str">
        <x:v>commercial</x:v>
      </x:c>
      <x:c r="L37" s="81" t="str">
        <x:v>video</x:v>
      </x:c>
      <x:c r="M37" s="81" t="str">
        <x:v>planning;proposal;content;commercial;video;research;exploration</x:v>
      </x:c>
      <x:c r="N37" s="81" t="str">
        <x:v>콘텐츠 제작 역량을 시장 분석과 사업 기획으로 연결한 학과의 창업교육 경험</x:v>
      </x:c>
      <x:c r="O37" s="81" t="str">
        <x:v>광주대학교</x:v>
      </x:c>
      <x:c r="P37" s="81" t="str">
        <x:v>곽동욱</x:v>
      </x:c>
      <x:c r="Q37" s="81" t="str">
        <x:v>2024 스마트 드론 활용 3D데이터 및 전문인력양성 결과보고서</x:v>
      </x:c>
      <x:c r="R37" s="81" t="str"/>
      <x:c r="S37" s="92" t="n">
        <x:v>46222</x:v>
      </x:c>
      <x:c r="T37" s="81" t="str">
        <x:v>참여 2명, 달성 프로그램. 2025년도 이전 경험으로 메인 노출 빈도 낮음</x:v>
      </x:c>
      <x:c r="U37" s="80" t="n">
        <x:v>3</x:v>
      </x:c>
      <x:c r="V37" s="80" t="n">
        <x:v>2024</x:v>
      </x:c>
      <x:c r="W37" s="81" t="str">
        <x:v>축적_경험</x:v>
      </x:c>
      <x:c r="X37" s="81" t="str">
        <x:v>스마트 드론·3D 인력양성</x:v>
      </x:c>
      <x:c r="Y37" s="81" t="str"/>
      <x:c r="Z37" s="82" t="str">
        <x:v>짧은경험</x:v>
      </x:c>
    </x:row>
    <x:row r="38" ht="34" customHeight="1">
      <x:c r="A38" s="91" t="str">
        <x:v>photo_next_2024_3d_drone_startup</x:v>
      </x:c>
      <x:c r="B38" s="81" t="str">
        <x:v>이전경험</x:v>
      </x:c>
      <x:c r="C38" s="81" t="str">
        <x:v>3D·드론 콘텐츠 창업 프로그램</x:v>
      </x:c>
      <x:c r="D38" s="81" t="str">
        <x:v>완료</x:v>
      </x:c>
      <x:c r="E38" s="92" t="n">
        <x:v>45433</x:v>
      </x:c>
      <x:c r="F38" s="92" t="n">
        <x:v>45440</x:v>
      </x:c>
      <x:c r="G38" s="81" t="str">
        <x:v>2024년 5월 21일~5월 28일</x:v>
      </x:c>
      <x:c r="H38" s="81" t="str">
        <x:v>3D와 드론 기술을 활용한 콘텐츠 비즈니스 모델과 시장 진입 전략을 설계한 창업 프로그램</x:v>
      </x:c>
      <x:c r="I38" s="81" t="str">
        <x:v>3D·드론 비즈니스 모델 구상과 TAM·SAM·SOM 시장분석에 2명 참여</x:v>
      </x:c>
      <x:c r="J38" s="81" t="str">
        <x:v>3D·드론 창업 아이디어 및 시장분석 자료</x:v>
      </x:c>
      <x:c r="K38" s="81" t="str">
        <x:v>video</x:v>
      </x:c>
      <x:c r="L38" s="81" t="str">
        <x:v>commercial</x:v>
      </x:c>
      <x:c r="M38" s="81" t="str">
        <x:v>planning;proposal;video;digital_image;project;research;exploration</x:v>
      </x:c>
      <x:c r="N38" s="81" t="str">
        <x:v>신기술 교육을 실제 창업 가능성과 비즈니스 모델로 연결한 이전 경험</x:v>
      </x:c>
      <x:c r="O38" s="81" t="str">
        <x:v>광주대학교</x:v>
      </x:c>
      <x:c r="P38" s="81" t="str">
        <x:v>윤태준</x:v>
      </x:c>
      <x:c r="Q38" s="81" t="str">
        <x:v>2024 스마트 드론 활용 3D데이터 및 전문인력양성 결과보고서</x:v>
      </x:c>
      <x:c r="R38" s="81" t="str"/>
      <x:c r="S38" s="92" t="n">
        <x:v>46222</x:v>
      </x:c>
      <x:c r="T38" s="81" t="str">
        <x:v>참여 2명, 달성 프로그램. 2025년도 이전 경험으로 메인 노출 빈도 낮음</x:v>
      </x:c>
      <x:c r="U38" s="80" t="n">
        <x:v>3</x:v>
      </x:c>
      <x:c r="V38" s="80" t="n">
        <x:v>2024</x:v>
      </x:c>
      <x:c r="W38" s="81" t="str">
        <x:v>축적_경험</x:v>
      </x:c>
      <x:c r="X38" s="81" t="str">
        <x:v>스마트 드론·3D 인력양성</x:v>
      </x:c>
      <x:c r="Y38" s="81" t="str"/>
      <x:c r="Z38" s="82" t="str">
        <x:v>짧은경험</x:v>
      </x:c>
    </x:row>
    <x:row r="39" ht="34" customHeight="1">
      <x:c r="A39" s="91" t="str">
        <x:v>photo_next_2024_drone_license</x:v>
      </x:c>
      <x:c r="B39" s="81" t="str">
        <x:v>이전경험</x:v>
      </x:c>
      <x:c r="C39" s="81" t="str">
        <x:v>초경량비행장치 1종 조종자 국가자격증 교육</x:v>
      </x:c>
      <x:c r="D39" s="81" t="str">
        <x:v>완료</x:v>
      </x:c>
      <x:c r="E39" s="92" t="n">
        <x:v>45481</x:v>
      </x:c>
      <x:c r="F39" s="92" t="n">
        <x:v>45569</x:v>
      </x:c>
      <x:c r="G39" s="81" t="str">
        <x:v>2024년 7월 8일~10월 4일</x:v>
      </x:c>
      <x:c r="H39" s="81" t="str">
        <x:v>드론 안전·법규와 조종 실습을 통해 초경량비행장치 1종 조종자 자격 취득을 지원한 장기 교육</x:v>
      </x:c>
      <x:c r="I39" s="81" t="str">
        <x:v>드론 안전교육, 항공법규, 조종 실습과 장비 안전교육에 12명 참여</x:v>
      </x:c>
      <x:c r="J39" s="81" t="str">
        <x:v>초경량비행장치 1종 조종자 자격 취득 성과</x:v>
      </x:c>
      <x:c r="K39" s="81" t="str">
        <x:v>video</x:v>
      </x:c>
      <x:c r="L39" s="81" t="str"/>
      <x:c r="M39" s="81" t="str">
        <x:v>camera;field;video;portfolio;exploration</x:v>
      </x:c>
      <x:c r="N39" s="81" t="str">
        <x:v>드론 영상 제작에 필요한 법적·기술적 기본 자격을 갖추도록 지원한 취업역량 강화 경험</x:v>
      </x:c>
      <x:c r="O39" s="81" t="str">
        <x:v>광주대학교 및 드론 교육장</x:v>
      </x:c>
      <x:c r="P39" s="81" t="str">
        <x:v>윤태준</x:v>
      </x:c>
      <x:c r="Q39" s="81" t="str">
        <x:v>2024 스마트 드론 활용 3D데이터 및 전문인력양성 결과보고서</x:v>
      </x:c>
      <x:c r="R39" s="81" t="str"/>
      <x:c r="S39" s="92" t="n">
        <x:v>46222</x:v>
      </x:c>
      <x:c r="T39" s="81" t="str">
        <x:v>참여 12명, 달성 프로그램. 2025년도 이전 경험으로 메인 노출 빈도 낮음</x:v>
      </x:c>
      <x:c r="U39" s="80" t="n">
        <x:v>3</x:v>
      </x:c>
      <x:c r="V39" s="80" t="n">
        <x:v>2024</x:v>
      </x:c>
      <x:c r="W39" s="81" t="str">
        <x:v>축적_경험</x:v>
      </x:c>
      <x:c r="X39" s="81" t="str">
        <x:v>스마트 드론·3D 인력양성</x:v>
      </x:c>
      <x:c r="Y39" s="81" t="str"/>
      <x:c r="Z39" s="82" t="str">
        <x:v>짧은경험</x:v>
      </x:c>
    </x:row>
    <x:row r="40" ht="34" customHeight="1">
      <x:c r="A40" s="91" t="str">
        <x:v>photo_next_2024_equipment_training</x:v>
      </x:c>
      <x:c r="B40" s="81" t="str">
        <x:v>이전경험</x:v>
      </x:c>
      <x:c r="C40" s="81" t="str">
        <x:v>사진·영상·드론 장비 활용 교육</x:v>
      </x:c>
      <x:c r="D40" s="81" t="str">
        <x:v>완료</x:v>
      </x:c>
      <x:c r="E40" s="92" t="n">
        <x:v>45429</x:v>
      </x:c>
      <x:c r="F40" s="92" t="n">
        <x:v>45450</x:v>
      </x:c>
      <x:c r="G40" s="81" t="str">
        <x:v>2024년 5월 17일~6월 7일</x:v>
      </x:c>
      <x:c r="H40" s="81" t="str">
        <x:v>학년별 수요를 반영해 사진·영상·드론 기자재의 안전한 사용과 기본 운용법을 교육한 장비 프로그램</x:v>
      </x:c>
      <x:c r="I40" s="81" t="str">
        <x:v>드론 안전·법규, 사진·영상 기자재 안전교육과 장비 운용 실습에 18명 참여</x:v>
      </x:c>
      <x:c r="J40" s="81" t="str">
        <x:v>장비 활용 실습 및 안전교육 이수</x:v>
      </x:c>
      <x:c r="K40" s="81" t="str">
        <x:v>video</x:v>
      </x:c>
      <x:c r="L40" s="81" t="str">
        <x:v>commercial</x:v>
      </x:c>
      <x:c r="M40" s="81" t="str">
        <x:v>camera;lighting;studio;field;photography;video;production</x:v>
      </x:c>
      <x:c r="N40" s="81" t="str">
        <x:v>사진·영상 제작의 기반이 되는 장비 운용과 안전관리 역량을 체계적으로 축적한 이전 교육 경험</x:v>
      </x:c>
      <x:c r="O40" s="81" t="str">
        <x:v>광주대학교</x:v>
      </x:c>
      <x:c r="P40" s="81" t="str">
        <x:v>윤태준</x:v>
      </x:c>
      <x:c r="Q40" s="81" t="str">
        <x:v>2024 스마트 드론 활용 3D데이터 및 전문인력양성 결과보고서</x:v>
      </x:c>
      <x:c r="R40" s="81" t="str"/>
      <x:c r="S40" s="92" t="n">
        <x:v>46222</x:v>
      </x:c>
      <x:c r="T40" s="81" t="str">
        <x:v>참여 18명, 달성 프로그램. 2025년도 이전 경험으로 메인 노출 빈도 낮음</x:v>
      </x:c>
      <x:c r="U40" s="80" t="n">
        <x:v>3</x:v>
      </x:c>
      <x:c r="V40" s="80" t="n">
        <x:v>2024</x:v>
      </x:c>
      <x:c r="W40" s="81" t="str">
        <x:v>축적_경험</x:v>
      </x:c>
      <x:c r="X40" s="81" t="str">
        <x:v>스마트 드론·3D 인력양성</x:v>
      </x:c>
      <x:c r="Y40" s="81" t="str"/>
      <x:c r="Z40" s="82" t="str">
        <x:v>짧은경험</x:v>
      </x:c>
    </x:row>
    <x:row r="41" ht="34" customHeight="1">
      <x:c r="A41" s="91" t="str">
        <x:v>photo_next_2024_industry_internship</x:v>
      </x:c>
      <x:c r="B41" s="81" t="str">
        <x:v>이전경험</x:v>
      </x:c>
      <x:c r="C41" s="81" t="str">
        <x:v>사진·영상·3D 콘텐츠 기업 인턴십</x:v>
      </x:c>
      <x:c r="D41" s="81" t="str">
        <x:v>완료</x:v>
      </x:c>
      <x:c r="E41" s="92" t="n">
        <x:v>45467</x:v>
      </x:c>
      <x:c r="F41" s="92" t="n">
        <x:v>45506</x:v>
      </x:c>
      <x:c r="G41" s="81" t="str">
        <x:v>2024년 6월 24일~8월 2일</x:v>
      </x:c>
      <x:c r="H41" s="81" t="str">
        <x:v>참여 기업의 실무 환경에 맞춰 학생이 현장 업무를 수행한 교과 연계 인턴십 프로그램</x:v>
      </x:c>
      <x:c r="I41" s="81" t="str">
        <x:v>기업별 직무와 제작 환경에 맞춘 인턴십에 6명 참여</x:v>
      </x:c>
      <x:c r="J41" s="81" t="str">
        <x:v>기업 실무 경험 및 직무 포트폴리오</x:v>
      </x:c>
      <x:c r="K41" s="81" t="str">
        <x:v>commercial</x:v>
      </x:c>
      <x:c r="L41" s="81" t="str">
        <x:v>video</x:v>
      </x:c>
      <x:c r="M41" s="81" t="str">
        <x:v>field;portfolio;collaboration;production;exploration;team</x:v>
      </x:c>
      <x:c r="N41" s="81" t="str">
        <x:v>교육과 프로젝트 경험을 실제 기업 직무로 연결한 학과의 산학협력 기반 이전 경험</x:v>
      </x:c>
      <x:c r="O41" s="81" t="str">
        <x:v>참여 기업체;㈜인디고</x:v>
      </x:c>
      <x:c r="P41" s="81" t="str">
        <x:v>곽동욱</x:v>
      </x:c>
      <x:c r="Q41" s="81" t="str">
        <x:v>2024 스마트 드론 활용 3D데이터 및 전문인력양성 결과보고서</x:v>
      </x:c>
      <x:c r="R41" s="81" t="str"/>
      <x:c r="S41" s="92" t="n">
        <x:v>46222</x:v>
      </x:c>
      <x:c r="T41" s="81" t="str">
        <x:v>참여 6명, 교과 인턴십, 달성 프로그램. 개별 기업명 확인 필요. 2025년도 이전 경험으로 메인 노출 빈도 낮음</x:v>
      </x:c>
      <x:c r="U41" s="80" t="n">
        <x:v>3</x:v>
      </x:c>
      <x:c r="V41" s="80" t="n">
        <x:v>2024</x:v>
      </x:c>
      <x:c r="W41" s="81" t="str">
        <x:v>축적_경험</x:v>
      </x:c>
      <x:c r="X41" s="81" t="str">
        <x:v>스마트 드론·3D 인력양성</x:v>
      </x:c>
      <x:c r="Y41" s="81" t="str"/>
      <x:c r="Z41" s="82" t="str">
        <x:v>짧은경험</x:v>
      </x:c>
    </x:row>
    <x:row r="42" ht="34" customHeight="1">
      <x:c r="A42" s="91" t="str">
        <x:v>photo_next_2024_baegun_3d_space_lab</x:v>
      </x:c>
      <x:c r="B42" s="81" t="str">
        <x:v>이전경험</x:v>
      </x:c>
      <x:c r="C42" s="81" t="str">
        <x:v>백운동 실데이터 기반 3D 공간제작 프로젝트Lab</x:v>
      </x:c>
      <x:c r="D42" s="81" t="str">
        <x:v>완료</x:v>
      </x:c>
      <x:c r="E42" s="92" t="n">
        <x:v>45474</x:v>
      </x:c>
      <x:c r="F42" s="92" t="n">
        <x:v>45566</x:v>
      </x:c>
      <x:c r="G42" s="81" t="str">
        <x:v>2024년 7월 1일~10월 1일</x:v>
      </x:c>
      <x:c r="H42" s="81" t="str">
        <x:v>백운동 일대의 실제 공간 데이터를 포토메트릭 스캐닝으로 취득하고 Unreal Engine 환경에서 모델링·렌더링한 프로젝트랩</x:v>
      </x:c>
      <x:c r="I42" s="81" t="str">
        <x:v>현장 촬영과 스캐닝, 실제 수치 기반 모델링, 에셋 제작, 환경광원과 렌더링에 6명 참여</x:v>
      </x:c>
      <x:c r="J42" s="81" t="str">
        <x:v>백운동 3D 공간 모델 및 렌더 이미지</x:v>
      </x:c>
      <x:c r="K42" s="81" t="str">
        <x:v>video</x:v>
      </x:c>
      <x:c r="L42" s="81" t="str">
        <x:v>documentary;art_photo</x:v>
      </x:c>
      <x:c r="M42" s="81" t="str">
        <x:v>local_culture;field;digital_image;media_art;production;research;project;team</x:v>
      </x:c>
      <x:c r="N42" s="81" t="str">
        <x:v>지역의 실제 공간을 데이터로 기록하고 3D 에셋과 가상공간으로 재구성한 대표적인 이전 프로젝트 경험</x:v>
      </x:c>
      <x:c r="O42" s="81" t="str">
        <x:v>광주 백운동 일대;㈜인디고</x:v>
      </x:c>
      <x:c r="P42" s="81" t="str">
        <x:v>윤태준</x:v>
      </x:c>
      <x:c r="Q42" s="81" t="str">
        <x:v>2024 스마트 드론 활용 3D데이터 및 전문인력양성 결과보고서</x:v>
      </x:c>
      <x:c r="R42" s="81" t="str"/>
      <x:c r="S42" s="92" t="n">
        <x:v>46222</x:v>
      </x:c>
      <x:c r="T42" s="81" t="str">
        <x:v>참여 6명, 달성 프로젝트. 우수사례로 보고됨. 2025년도 이전 자료이므로 메인 노출은 낮추되 학과 역량 사례로 활용</x:v>
      </x:c>
      <x:c r="U42" s="80" t="n">
        <x:v>3</x:v>
      </x:c>
      <x:c r="V42" s="80" t="n">
        <x:v>2024</x:v>
      </x:c>
      <x:c r="W42" s="81" t="str">
        <x:v>축적_경험</x:v>
      </x:c>
      <x:c r="X42" s="81" t="str">
        <x:v>스마트 드론·3D 인력양성</x:v>
      </x:c>
      <x:c r="Y42" s="81" t="str"/>
      <x:c r="Z42" s="82" t="str">
        <x:v>짧은경험</x:v>
      </x:c>
    </x:row>
    <x:row r="43" ht="34" customHeight="1">
      <x:c r="A43" s="91" t="str">
        <x:v>photo_next_2024_unreal_interactive_lab</x:v>
      </x:c>
      <x:c r="B43" s="81" t="str">
        <x:v>이전경험</x:v>
      </x:c>
      <x:c r="C43" s="81" t="str">
        <x:v>Unreal Engine 인터랙티브 공간 제작연구</x:v>
      </x:c>
      <x:c r="D43" s="81" t="str">
        <x:v>완료</x:v>
      </x:c>
      <x:c r="E43" s="92" t="n">
        <x:v>45588</x:v>
      </x:c>
      <x:c r="F43" s="92" t="n">
        <x:v>45625</x:v>
      </x:c>
      <x:c r="G43" s="81" t="str">
        <x:v>2024년 10월 23일~11월 29일</x:v>
      </x:c>
      <x:c r="H43" s="81" t="str">
        <x:v>기존에 제작한 3D 공간에 사용자 반응과 인터랙티브 효과를 추가해 실감형 공간으로 확장한 프로젝트랩</x:v>
      </x:c>
      <x:c r="I43" s="81" t="str">
        <x:v>Unreal Engine에서 상호작용 로직과 반응 효과를 설계하고 제작하는 연구에 4명 참여</x:v>
      </x:c>
      <x:c r="J43" s="81" t="str">
        <x:v>인터랙티브 3D 공간 프로토타입</x:v>
      </x:c>
      <x:c r="K43" s="81" t="str">
        <x:v>video</x:v>
      </x:c>
      <x:c r="L43" s="81" t="str">
        <x:v>art_photo</x:v>
      </x:c>
      <x:c r="M43" s="81" t="str">
        <x:v>media_art;installation;digital_image;production;project;team;portfolio</x:v>
      </x:c>
      <x:c r="N43" s="81" t="str">
        <x:v>정적인 3D 모델을 사용자 반응이 가능한 실감형 콘텐츠로 확장한 이전 융복합 제작 경험</x:v>
      </x:c>
      <x:c r="O43" s="81" t="str">
        <x:v>광주대학교</x:v>
      </x:c>
      <x:c r="P43" s="81" t="str">
        <x:v>윤태준</x:v>
      </x:c>
      <x:c r="Q43" s="81" t="str">
        <x:v>2024 스마트 드론 활용 3D데이터 및 전문인력양성 결과보고서</x:v>
      </x:c>
      <x:c r="R43" s="81" t="str"/>
      <x:c r="S43" s="92" t="n">
        <x:v>46222</x:v>
      </x:c>
      <x:c r="T43" s="81" t="str">
        <x:v>참여 4명, 결과보고서 작성 시점에는 예정으로 표기. 2025년도 이전 경험으로 메인 노출 빈도 낮음</x:v>
      </x:c>
      <x:c r="U43" s="80" t="n">
        <x:v>3</x:v>
      </x:c>
      <x:c r="V43" s="80" t="n">
        <x:v>2024</x:v>
      </x:c>
      <x:c r="W43" s="81" t="str">
        <x:v>축적_경험</x:v>
      </x:c>
      <x:c r="X43" s="81" t="str">
        <x:v>스마트 드론·3D 인력양성</x:v>
      </x:c>
      <x:c r="Y43" s="81" t="str"/>
      <x:c r="Z43" s="82" t="str">
        <x:v>짧은경험</x:v>
      </x:c>
    </x:row>
    <x:row r="44" ht="34" customHeight="1">
      <x:c r="A44" s="93" t="str">
        <x:v>photo_next_2024_drone_lidar_orthophoto_lab</x:v>
      </x:c>
      <x:c r="B44" s="94" t="str">
        <x:v>이전경험</x:v>
      </x:c>
      <x:c r="C44" s="94" t="str">
        <x:v>드론 3D·지상 LiDAR 스캐닝 정사영상 제작</x:v>
      </x:c>
      <x:c r="D44" s="94" t="str">
        <x:v>완료</x:v>
      </x:c>
      <x:c r="E44" s="95" t="n">
        <x:v>45607</x:v>
      </x:c>
      <x:c r="F44" s="95" t="n">
        <x:v>45638</x:v>
      </x:c>
      <x:c r="G44" s="94" t="str">
        <x:v>2024년 11월 11일~12월 12일</x:v>
      </x:c>
      <x:c r="H44" s="94" t="str">
        <x:v>드론 3D 스캐닝과 지상 LiDAR로 취득한 데이터를 결합해 정사영상과 공간 데이터를 제작한 프로젝트랩</x:v>
      </x:c>
      <x:c r="I44" s="94" t="str">
        <x:v>드론 촬영, 지상 LiDAR 스캐닝, 데이터 정합과 정사영상 제작에 8명 참여</x:v>
      </x:c>
      <x:c r="J44" s="94" t="str">
        <x:v>정사영상 및 3D 공간 데이터</x:v>
      </x:c>
      <x:c r="K44" s="94" t="str">
        <x:v>video</x:v>
      </x:c>
      <x:c r="L44" s="94" t="str">
        <x:v>documentary</x:v>
      </x:c>
      <x:c r="M44" s="94" t="str">
        <x:v>field;digital_image;camera;video;research;production;project;team</x:v>
      </x:c>
      <x:c r="N44" s="94" t="str">
        <x:v>항공과 지상에서 취득한 데이터를 통합해 공간을 정밀하게 기록하는 학과의 고도화된 기술 경험</x:v>
      </x:c>
      <x:c r="O44" s="94" t="str">
        <x:v>광주대학교 및 외부 스캐닝 현장</x:v>
      </x:c>
      <x:c r="P44" s="94" t="str">
        <x:v>윤태준</x:v>
      </x:c>
      <x:c r="Q44" s="94" t="str">
        <x:v>2024 스마트 드론 활용 3D데이터 및 전문인력양성 결과보고서</x:v>
      </x:c>
      <x:c r="R44" s="94" t="str"/>
      <x:c r="S44" s="95" t="n">
        <x:v>46222</x:v>
      </x:c>
      <x:c r="T44" s="94" t="str">
        <x:v>참여 8명, 결과보고서 작성 시점에는 예정으로 표기. 2025년도 이전 경험으로 메인 노출 빈도 낮음</x:v>
      </x:c>
      <x:c r="U44" s="96" t="n">
        <x:v>3</x:v>
      </x:c>
      <x:c r="V44" s="96" t="n">
        <x:v>2024</x:v>
      </x:c>
      <x:c r="W44" s="94" t="str">
        <x:v>축적_경험</x:v>
      </x:c>
      <x:c r="X44" s="94" t="str">
        <x:v>스마트 드론·3D 인력양성</x:v>
      </x:c>
      <x:c r="Y44" s="94" t="str"/>
      <x:c r="Z44" s="97" t="str">
        <x:v>짧은경험</x:v>
      </x:c>
    </x:row>
    <x:row r="45">
      <x:c r="E45" s="24"/>
      <x:c r="F45" s="24"/>
      <x:c r="S45" s="24"/>
      <x:c r="U45" s="26"/>
    </x:row>
    <x:row r="46">
      <x:c r="E46" s="24"/>
      <x:c r="F46" s="24"/>
      <x:c r="S46" s="24"/>
      <x:c r="U46" s="26"/>
    </x:row>
    <x:row r="47">
      <x:c r="E47" s="24"/>
      <x:c r="F47" s="24"/>
      <x:c r="S47" s="24"/>
      <x:c r="U47" s="26"/>
    </x:row>
    <x:row r="48">
      <x:c r="E48" s="24"/>
      <x:c r="F48" s="24"/>
      <x:c r="S48" s="24"/>
      <x:c r="U48" s="26"/>
    </x:row>
    <x:row r="49">
      <x:c r="E49" s="24"/>
      <x:c r="F49" s="24"/>
      <x:c r="S49" s="24"/>
      <x:c r="U49" s="26"/>
    </x:row>
    <x:row r="50">
      <x:c r="E50" s="24"/>
      <x:c r="F50" s="24"/>
      <x:c r="S50" s="24"/>
      <x:c r="U50" s="26"/>
    </x:row>
    <x:row r="51">
      <x:c r="E51" s="24"/>
      <x:c r="F51" s="24"/>
      <x:c r="S51" s="24"/>
      <x:c r="U51" s="26"/>
    </x:row>
    <x:row r="52">
      <x:c r="E52" s="24"/>
      <x:c r="F52" s="24"/>
      <x:c r="S52" s="24"/>
      <x:c r="U52" s="26"/>
    </x:row>
    <x:row r="53">
      <x:c r="E53" s="24"/>
      <x:c r="F53" s="24"/>
      <x:c r="S53" s="24"/>
      <x:c r="U53" s="26"/>
    </x:row>
    <x:row r="54">
      <x:c r="E54" s="24"/>
      <x:c r="F54" s="24"/>
      <x:c r="S54" s="24"/>
      <x:c r="U54" s="26"/>
    </x:row>
    <x:row r="55">
      <x:c r="E55" s="24"/>
      <x:c r="F55" s="24"/>
      <x:c r="S55" s="24"/>
      <x:c r="U55" s="26"/>
    </x:row>
    <x:row r="56">
      <x:c r="E56" s="24"/>
      <x:c r="F56" s="24"/>
      <x:c r="S56" s="24"/>
      <x:c r="U56" s="26"/>
    </x:row>
    <x:row r="57">
      <x:c r="E57" s="24"/>
      <x:c r="F57" s="24"/>
      <x:c r="S57" s="24"/>
      <x:c r="U57" s="26"/>
    </x:row>
    <x:row r="58">
      <x:c r="E58" s="24"/>
      <x:c r="F58" s="24"/>
      <x:c r="S58" s="24"/>
      <x:c r="U58" s="26"/>
    </x:row>
    <x:row r="59">
      <x:c r="E59" s="24"/>
      <x:c r="F59" s="24"/>
      <x:c r="S59" s="24"/>
      <x:c r="U59" s="26"/>
    </x:row>
    <x:row r="60">
      <x:c r="E60" s="24"/>
      <x:c r="F60" s="24"/>
      <x:c r="S60" s="24"/>
      <x:c r="U60" s="26"/>
    </x:row>
    <x:row r="61">
      <x:c r="E61" s="24"/>
      <x:c r="F61" s="24"/>
      <x:c r="S61" s="24"/>
      <x:c r="U61" s="26"/>
    </x:row>
    <x:row r="62">
      <x:c r="E62" s="24"/>
      <x:c r="F62" s="24"/>
      <x:c r="S62" s="24"/>
      <x:c r="U62" s="26"/>
    </x:row>
    <x:row r="63">
      <x:c r="E63" s="24"/>
      <x:c r="F63" s="24"/>
      <x:c r="S63" s="24"/>
      <x:c r="U63" s="26"/>
    </x:row>
    <x:row r="64">
      <x:c r="E64" s="24"/>
      <x:c r="F64" s="24"/>
      <x:c r="S64" s="24"/>
      <x:c r="U64" s="26"/>
    </x:row>
    <x:row r="65">
      <x:c r="E65" s="24"/>
      <x:c r="F65" s="24"/>
      <x:c r="S65" s="24"/>
      <x:c r="U65" s="26"/>
    </x:row>
    <x:row r="66">
      <x:c r="E66" s="24"/>
      <x:c r="F66" s="24"/>
      <x:c r="S66" s="24"/>
      <x:c r="U66" s="26"/>
    </x:row>
    <x:row r="67">
      <x:c r="E67" s="24"/>
      <x:c r="F67" s="24"/>
      <x:c r="S67" s="24"/>
      <x:c r="U67" s="26"/>
    </x:row>
    <x:row r="68">
      <x:c r="E68" s="24"/>
      <x:c r="F68" s="24"/>
      <x:c r="S68" s="24"/>
      <x:c r="U68" s="26"/>
    </x:row>
    <x:row r="69">
      <x:c r="E69" s="24"/>
      <x:c r="F69" s="24"/>
      <x:c r="S69" s="24"/>
      <x:c r="U69" s="26"/>
    </x:row>
    <x:row r="70">
      <x:c r="E70" s="24"/>
      <x:c r="F70" s="24"/>
      <x:c r="S70" s="24"/>
      <x:c r="U70" s="26"/>
    </x:row>
    <x:row r="71">
      <x:c r="E71" s="24"/>
      <x:c r="F71" s="24"/>
      <x:c r="S71" s="24"/>
      <x:c r="U71" s="26"/>
    </x:row>
    <x:row r="72">
      <x:c r="E72" s="24"/>
      <x:c r="F72" s="24"/>
      <x:c r="S72" s="24"/>
      <x:c r="U72" s="26"/>
    </x:row>
    <x:row r="73">
      <x:c r="E73" s="24"/>
      <x:c r="F73" s="24"/>
      <x:c r="S73" s="24"/>
      <x:c r="U73" s="26"/>
    </x:row>
    <x:row r="74">
      <x:c r="E74" s="24"/>
      <x:c r="F74" s="24"/>
      <x:c r="S74" s="24"/>
      <x:c r="U74" s="26"/>
    </x:row>
    <x:row r="75">
      <x:c r="E75" s="24"/>
      <x:c r="F75" s="24"/>
      <x:c r="S75" s="24"/>
      <x:c r="U75" s="26"/>
    </x:row>
    <x:row r="76">
      <x:c r="E76" s="24"/>
      <x:c r="F76" s="24"/>
      <x:c r="S76" s="24"/>
      <x:c r="U76" s="26"/>
    </x:row>
    <x:row r="77">
      <x:c r="E77" s="24"/>
      <x:c r="F77" s="24"/>
      <x:c r="S77" s="24"/>
      <x:c r="U77" s="26"/>
    </x:row>
    <x:row r="78">
      <x:c r="E78" s="24"/>
      <x:c r="F78" s="24"/>
      <x:c r="S78" s="24"/>
      <x:c r="U78" s="26"/>
    </x:row>
    <x:row r="79">
      <x:c r="E79" s="24"/>
      <x:c r="F79" s="24"/>
      <x:c r="S79" s="24"/>
      <x:c r="U79" s="26"/>
    </x:row>
    <x:row r="80">
      <x:c r="E80" s="24"/>
      <x:c r="F80" s="24"/>
      <x:c r="S80" s="24"/>
      <x:c r="U80" s="26"/>
    </x:row>
    <x:row r="81">
      <x:c r="E81" s="24"/>
      <x:c r="F81" s="24"/>
      <x:c r="S81" s="24"/>
      <x:c r="U81" s="26"/>
    </x:row>
    <x:row r="82">
      <x:c r="E82" s="24"/>
      <x:c r="F82" s="24"/>
      <x:c r="S82" s="24"/>
      <x:c r="U82" s="26"/>
    </x:row>
    <x:row r="83">
      <x:c r="E83" s="24"/>
      <x:c r="F83" s="24"/>
      <x:c r="S83" s="24"/>
      <x:c r="U83" s="26"/>
    </x:row>
    <x:row r="84">
      <x:c r="E84" s="24"/>
      <x:c r="F84" s="24"/>
      <x:c r="S84" s="24"/>
      <x:c r="U84" s="26"/>
    </x:row>
    <x:row r="85">
      <x:c r="E85" s="24"/>
      <x:c r="F85" s="24"/>
      <x:c r="S85" s="24"/>
      <x:c r="U85" s="26"/>
    </x:row>
    <x:row r="86">
      <x:c r="E86" s="24"/>
      <x:c r="F86" s="24"/>
      <x:c r="S86" s="24"/>
      <x:c r="U86" s="26"/>
    </x:row>
    <x:row r="87">
      <x:c r="E87" s="24"/>
      <x:c r="F87" s="24"/>
      <x:c r="S87" s="24"/>
      <x:c r="U87" s="26"/>
    </x:row>
    <x:row r="88">
      <x:c r="E88" s="24"/>
      <x:c r="F88" s="24"/>
      <x:c r="S88" s="24"/>
      <x:c r="U88" s="26"/>
    </x:row>
    <x:row r="89">
      <x:c r="E89" s="24"/>
      <x:c r="F89" s="24"/>
      <x:c r="S89" s="24"/>
      <x:c r="U89" s="26"/>
    </x:row>
    <x:row r="90">
      <x:c r="E90" s="24"/>
      <x:c r="F90" s="24"/>
      <x:c r="S90" s="24"/>
      <x:c r="U90" s="26"/>
    </x:row>
    <x:row r="91">
      <x:c r="E91" s="24"/>
      <x:c r="F91" s="24"/>
      <x:c r="S91" s="24"/>
      <x:c r="U91" s="26"/>
    </x:row>
    <x:row r="92">
      <x:c r="E92" s="24"/>
      <x:c r="F92" s="24"/>
      <x:c r="S92" s="24"/>
      <x:c r="U92" s="26"/>
    </x:row>
    <x:row r="93">
      <x:c r="E93" s="24"/>
      <x:c r="F93" s="24"/>
      <x:c r="S93" s="24"/>
      <x:c r="U93" s="26"/>
    </x:row>
    <x:row r="94">
      <x:c r="E94" s="24"/>
      <x:c r="F94" s="24"/>
      <x:c r="S94" s="24"/>
      <x:c r="U94" s="26"/>
    </x:row>
    <x:row r="95">
      <x:c r="E95" s="24"/>
      <x:c r="F95" s="24"/>
      <x:c r="S95" s="24"/>
      <x:c r="U95" s="26"/>
    </x:row>
    <x:row r="96">
      <x:c r="E96" s="24"/>
      <x:c r="F96" s="24"/>
      <x:c r="S96" s="24"/>
      <x:c r="U96" s="26"/>
    </x:row>
    <x:row r="97">
      <x:c r="E97" s="24"/>
      <x:c r="F97" s="24"/>
      <x:c r="S97" s="24"/>
      <x:c r="U97" s="26"/>
    </x:row>
    <x:row r="98">
      <x:c r="E98" s="24"/>
      <x:c r="F98" s="24"/>
      <x:c r="S98" s="24"/>
      <x:c r="U98" s="26"/>
    </x:row>
    <x:row r="99">
      <x:c r="E99" s="24"/>
      <x:c r="F99" s="24"/>
      <x:c r="S99" s="24"/>
      <x:c r="U99" s="26"/>
    </x:row>
    <x:row r="100">
      <x:c r="E100" s="24"/>
      <x:c r="F100" s="24"/>
      <x:c r="S100" s="24"/>
      <x:c r="U100" s="26"/>
    </x:row>
    <x:row r="101">
      <x:c r="E101" s="24"/>
      <x:c r="F101" s="24"/>
      <x:c r="S101" s="24"/>
      <x:c r="U101" s="26"/>
    </x:row>
    <x:row r="102">
      <x:c r="E102" s="24"/>
      <x:c r="F102" s="24"/>
      <x:c r="S102" s="24"/>
      <x:c r="U102" s="26"/>
    </x:row>
    <x:row r="103">
      <x:c r="E103" s="24"/>
      <x:c r="F103" s="24"/>
      <x:c r="S103" s="24"/>
      <x:c r="U103" s="26"/>
    </x:row>
    <x:row r="104">
      <x:c r="E104" s="24"/>
      <x:c r="F104" s="24"/>
      <x:c r="S104" s="24"/>
      <x:c r="U104" s="26"/>
    </x:row>
    <x:row r="105">
      <x:c r="E105" s="24"/>
      <x:c r="F105" s="24"/>
      <x:c r="S105" s="24"/>
      <x:c r="U105" s="26"/>
    </x:row>
    <x:row r="106">
      <x:c r="E106" s="24"/>
      <x:c r="F106" s="24"/>
      <x:c r="S106" s="24"/>
      <x:c r="U106" s="26"/>
    </x:row>
    <x:row r="107">
      <x:c r="E107" s="24"/>
      <x:c r="F107" s="24"/>
      <x:c r="S107" s="24"/>
      <x:c r="U107" s="26"/>
    </x:row>
    <x:row r="108">
      <x:c r="E108" s="24"/>
      <x:c r="F108" s="24"/>
      <x:c r="S108" s="24"/>
      <x:c r="U108" s="26"/>
    </x:row>
    <x:row r="109">
      <x:c r="E109" s="24"/>
      <x:c r="F109" s="24"/>
      <x:c r="S109" s="24"/>
      <x:c r="U109" s="26"/>
    </x:row>
    <x:row r="110">
      <x:c r="E110" s="24"/>
      <x:c r="F110" s="24"/>
      <x:c r="S110" s="24"/>
      <x:c r="U110" s="26"/>
    </x:row>
    <x:row r="111">
      <x:c r="E111" s="24"/>
      <x:c r="F111" s="24"/>
      <x:c r="S111" s="24"/>
      <x:c r="U111" s="26"/>
    </x:row>
    <x:row r="112">
      <x:c r="E112" s="24"/>
      <x:c r="F112" s="24"/>
      <x:c r="S112" s="24"/>
      <x:c r="U112" s="26"/>
    </x:row>
    <x:row r="113">
      <x:c r="E113" s="24"/>
      <x:c r="F113" s="24"/>
      <x:c r="S113" s="24"/>
      <x:c r="U113" s="26"/>
    </x:row>
    <x:row r="114">
      <x:c r="E114" s="24"/>
      <x:c r="F114" s="24"/>
      <x:c r="S114" s="24"/>
      <x:c r="U114" s="26"/>
    </x:row>
    <x:row r="115">
      <x:c r="E115" s="24"/>
      <x:c r="F115" s="24"/>
      <x:c r="S115" s="24"/>
      <x:c r="U115" s="26"/>
    </x:row>
    <x:row r="116">
      <x:c r="E116" s="24"/>
      <x:c r="F116" s="24"/>
      <x:c r="S116" s="24"/>
      <x:c r="U116" s="26"/>
    </x:row>
    <x:row r="117">
      <x:c r="E117" s="24"/>
      <x:c r="F117" s="24"/>
      <x:c r="S117" s="24"/>
      <x:c r="U117" s="26"/>
    </x:row>
    <x:row r="118">
      <x:c r="E118" s="24"/>
      <x:c r="F118" s="24"/>
      <x:c r="S118" s="24"/>
      <x:c r="U118" s="26"/>
    </x:row>
    <x:row r="119">
      <x:c r="E119" s="24"/>
      <x:c r="F119" s="24"/>
      <x:c r="S119" s="24"/>
      <x:c r="U119" s="26"/>
    </x:row>
    <x:row r="120">
      <x:c r="E120" s="24"/>
      <x:c r="F120" s="24"/>
      <x:c r="S120" s="24"/>
      <x:c r="U120" s="26"/>
    </x:row>
    <x:row r="121">
      <x:c r="E121" s="24"/>
      <x:c r="F121" s="24"/>
      <x:c r="S121" s="24"/>
      <x:c r="U121" s="26"/>
    </x:row>
    <x:row r="122">
      <x:c r="E122" s="24"/>
      <x:c r="F122" s="24"/>
      <x:c r="S122" s="24"/>
      <x:c r="U122" s="26"/>
    </x:row>
    <x:row r="123">
      <x:c r="E123" s="24"/>
      <x:c r="F123" s="24"/>
      <x:c r="S123" s="24"/>
      <x:c r="U123" s="26"/>
    </x:row>
    <x:row r="124">
      <x:c r="E124" s="24"/>
      <x:c r="F124" s="24"/>
      <x:c r="S124" s="24"/>
      <x:c r="U124" s="26"/>
    </x:row>
    <x:row r="125">
      <x:c r="E125" s="24"/>
      <x:c r="F125" s="24"/>
      <x:c r="S125" s="24"/>
      <x:c r="U125" s="26"/>
    </x:row>
    <x:row r="126">
      <x:c r="E126" s="24"/>
      <x:c r="F126" s="24"/>
      <x:c r="S126" s="24"/>
      <x:c r="U126" s="26"/>
    </x:row>
    <x:row r="127">
      <x:c r="E127" s="24"/>
      <x:c r="F127" s="24"/>
      <x:c r="S127" s="24"/>
      <x:c r="U127" s="26"/>
    </x:row>
    <x:row r="128">
      <x:c r="E128" s="24"/>
      <x:c r="F128" s="24"/>
      <x:c r="S128" s="24"/>
      <x:c r="U128" s="26"/>
    </x:row>
    <x:row r="129">
      <x:c r="E129" s="24"/>
      <x:c r="F129" s="24"/>
      <x:c r="S129" s="24"/>
      <x:c r="U129" s="26"/>
    </x:row>
    <x:row r="130">
      <x:c r="E130" s="24"/>
      <x:c r="F130" s="24"/>
      <x:c r="S130" s="24"/>
      <x:c r="U130" s="26"/>
    </x:row>
    <x:row r="131">
      <x:c r="E131" s="24"/>
      <x:c r="F131" s="24"/>
      <x:c r="S131" s="24"/>
      <x:c r="U131" s="26"/>
    </x:row>
    <x:row r="132">
      <x:c r="E132" s="24"/>
      <x:c r="F132" s="24"/>
      <x:c r="S132" s="24"/>
      <x:c r="U132" s="26"/>
    </x:row>
    <x:row r="133">
      <x:c r="E133" s="24"/>
      <x:c r="F133" s="24"/>
      <x:c r="S133" s="24"/>
      <x:c r="U133" s="26"/>
    </x:row>
    <x:row r="134">
      <x:c r="E134" s="24"/>
      <x:c r="F134" s="24"/>
      <x:c r="S134" s="24"/>
      <x:c r="U134" s="26"/>
    </x:row>
    <x:row r="135">
      <x:c r="E135" s="24"/>
      <x:c r="F135" s="24"/>
      <x:c r="S135" s="24"/>
      <x:c r="U135" s="26"/>
    </x:row>
    <x:row r="136">
      <x:c r="E136" s="24"/>
      <x:c r="F136" s="24"/>
      <x:c r="S136" s="24"/>
      <x:c r="U136" s="26"/>
    </x:row>
    <x:row r="137">
      <x:c r="E137" s="24"/>
      <x:c r="F137" s="24"/>
      <x:c r="S137" s="24"/>
      <x:c r="U137" s="26"/>
    </x:row>
    <x:row r="138">
      <x:c r="E138" s="24"/>
      <x:c r="F138" s="24"/>
      <x:c r="S138" s="24"/>
      <x:c r="U138" s="26"/>
    </x:row>
    <x:row r="139">
      <x:c r="E139" s="24"/>
      <x:c r="F139" s="24"/>
      <x:c r="S139" s="24"/>
      <x:c r="U139" s="26"/>
    </x:row>
    <x:row r="140">
      <x:c r="E140" s="24"/>
      <x:c r="F140" s="24"/>
      <x:c r="S140" s="24"/>
      <x:c r="U140" s="26"/>
    </x:row>
    <x:row r="141">
      <x:c r="E141" s="24"/>
      <x:c r="F141" s="24"/>
      <x:c r="S141" s="24"/>
      <x:c r="U141" s="26"/>
    </x:row>
    <x:row r="142">
      <x:c r="E142" s="24"/>
      <x:c r="F142" s="24"/>
      <x:c r="S142" s="24"/>
      <x:c r="U142" s="26"/>
    </x:row>
    <x:row r="143">
      <x:c r="E143" s="24"/>
      <x:c r="F143" s="24"/>
      <x:c r="S143" s="24"/>
      <x:c r="U143" s="26"/>
    </x:row>
    <x:row r="144">
      <x:c r="E144" s="24"/>
      <x:c r="F144" s="24"/>
      <x:c r="S144" s="24"/>
      <x:c r="U144" s="26"/>
    </x:row>
    <x:row r="145">
      <x:c r="E145" s="24"/>
      <x:c r="F145" s="24"/>
      <x:c r="S145" s="24"/>
      <x:c r="U145" s="26"/>
    </x:row>
    <x:row r="146">
      <x:c r="E146" s="24"/>
      <x:c r="F146" s="24"/>
      <x:c r="S146" s="24"/>
      <x:c r="U146" s="26"/>
    </x:row>
    <x:row r="147">
      <x:c r="E147" s="24"/>
      <x:c r="F147" s="24"/>
      <x:c r="S147" s="24"/>
      <x:c r="U147" s="26"/>
    </x:row>
    <x:row r="148">
      <x:c r="E148" s="24"/>
      <x:c r="F148" s="24"/>
      <x:c r="S148" s="24"/>
      <x:c r="U148" s="26"/>
    </x:row>
    <x:row r="149">
      <x:c r="E149" s="24"/>
      <x:c r="F149" s="24"/>
      <x:c r="S149" s="24"/>
      <x:c r="U149" s="26"/>
    </x:row>
    <x:row r="150">
      <x:c r="E150" s="24"/>
      <x:c r="F150" s="24"/>
      <x:c r="S150" s="24"/>
      <x:c r="U150" s="26"/>
    </x:row>
    <x:row r="151">
      <x:c r="E151" s="24"/>
      <x:c r="F151" s="24"/>
      <x:c r="S151" s="24"/>
      <x:c r="U151" s="26"/>
    </x:row>
    <x:row r="152">
      <x:c r="E152" s="24"/>
      <x:c r="F152" s="24"/>
      <x:c r="S152" s="24"/>
      <x:c r="U152" s="26"/>
    </x:row>
    <x:row r="153">
      <x:c r="E153" s="24"/>
      <x:c r="F153" s="24"/>
      <x:c r="S153" s="24"/>
      <x:c r="U153" s="26"/>
    </x:row>
    <x:row r="154">
      <x:c r="E154" s="24"/>
      <x:c r="F154" s="24"/>
      <x:c r="S154" s="24"/>
      <x:c r="U154" s="26"/>
    </x:row>
    <x:row r="155">
      <x:c r="E155" s="24"/>
      <x:c r="F155" s="24"/>
      <x:c r="S155" s="24"/>
      <x:c r="U155" s="26"/>
    </x:row>
    <x:row r="156">
      <x:c r="E156" s="24"/>
      <x:c r="F156" s="24"/>
      <x:c r="S156" s="24"/>
      <x:c r="U156" s="26"/>
    </x:row>
    <x:row r="157">
      <x:c r="E157" s="24"/>
      <x:c r="F157" s="24"/>
      <x:c r="S157" s="24"/>
      <x:c r="U157" s="26"/>
    </x:row>
    <x:row r="158">
      <x:c r="E158" s="24"/>
      <x:c r="F158" s="24"/>
      <x:c r="S158" s="24"/>
      <x:c r="U158" s="26"/>
    </x:row>
    <x:row r="159">
      <x:c r="E159" s="24"/>
      <x:c r="F159" s="24"/>
      <x:c r="S159" s="24"/>
      <x:c r="U159" s="26"/>
    </x:row>
    <x:row r="160">
      <x:c r="E160" s="24"/>
      <x:c r="F160" s="24"/>
      <x:c r="S160" s="24"/>
      <x:c r="U160" s="26"/>
    </x:row>
    <x:row r="161">
      <x:c r="E161" s="24"/>
      <x:c r="F161" s="24"/>
      <x:c r="S161" s="24"/>
      <x:c r="U161" s="26"/>
    </x:row>
    <x:row r="162">
      <x:c r="E162" s="24"/>
      <x:c r="F162" s="24"/>
      <x:c r="S162" s="24"/>
      <x:c r="U162" s="26"/>
    </x:row>
    <x:row r="163">
      <x:c r="E163" s="24"/>
      <x:c r="F163" s="24"/>
      <x:c r="S163" s="24"/>
      <x:c r="U163" s="26"/>
    </x:row>
    <x:row r="164">
      <x:c r="E164" s="24"/>
      <x:c r="F164" s="24"/>
      <x:c r="S164" s="24"/>
      <x:c r="U164" s="26"/>
    </x:row>
    <x:row r="165">
      <x:c r="E165" s="24"/>
      <x:c r="F165" s="24"/>
      <x:c r="S165" s="24"/>
      <x:c r="U165" s="26"/>
    </x:row>
    <x:row r="166">
      <x:c r="E166" s="24"/>
      <x:c r="F166" s="24"/>
      <x:c r="S166" s="24"/>
      <x:c r="U166" s="26"/>
    </x:row>
    <x:row r="167">
      <x:c r="E167" s="24"/>
      <x:c r="F167" s="24"/>
      <x:c r="S167" s="24"/>
      <x:c r="U167" s="26"/>
    </x:row>
    <x:row r="168">
      <x:c r="E168" s="24"/>
      <x:c r="F168" s="24"/>
      <x:c r="S168" s="24"/>
      <x:c r="U168" s="26"/>
    </x:row>
    <x:row r="169">
      <x:c r="E169" s="24"/>
      <x:c r="F169" s="24"/>
      <x:c r="S169" s="24"/>
      <x:c r="U169" s="26"/>
    </x:row>
    <x:row r="170">
      <x:c r="E170" s="24"/>
      <x:c r="F170" s="24"/>
      <x:c r="S170" s="24"/>
      <x:c r="U170" s="26"/>
    </x:row>
    <x:row r="171">
      <x:c r="E171" s="24"/>
      <x:c r="F171" s="24"/>
      <x:c r="S171" s="24"/>
      <x:c r="U171" s="26"/>
    </x:row>
    <x:row r="172">
      <x:c r="E172" s="24"/>
      <x:c r="F172" s="24"/>
      <x:c r="S172" s="24"/>
      <x:c r="U172" s="26"/>
    </x:row>
    <x:row r="173">
      <x:c r="E173" s="24"/>
      <x:c r="F173" s="24"/>
      <x:c r="S173" s="24"/>
      <x:c r="U173" s="26"/>
    </x:row>
    <x:row r="174">
      <x:c r="E174" s="24"/>
      <x:c r="F174" s="24"/>
      <x:c r="S174" s="24"/>
      <x:c r="U174" s="26"/>
    </x:row>
    <x:row r="175">
      <x:c r="E175" s="24"/>
      <x:c r="F175" s="24"/>
      <x:c r="S175" s="24"/>
      <x:c r="U175" s="26"/>
    </x:row>
    <x:row r="176">
      <x:c r="E176" s="24"/>
      <x:c r="F176" s="24"/>
      <x:c r="S176" s="24"/>
      <x:c r="U176" s="26"/>
    </x:row>
    <x:row r="177">
      <x:c r="E177" s="24"/>
      <x:c r="F177" s="24"/>
      <x:c r="S177" s="24"/>
      <x:c r="U177" s="26"/>
    </x:row>
    <x:row r="178">
      <x:c r="E178" s="24"/>
      <x:c r="F178" s="24"/>
      <x:c r="S178" s="24"/>
      <x:c r="U178" s="26"/>
    </x:row>
    <x:row r="179">
      <x:c r="E179" s="24"/>
      <x:c r="F179" s="24"/>
      <x:c r="S179" s="24"/>
      <x:c r="U179" s="26"/>
    </x:row>
    <x:row r="180">
      <x:c r="E180" s="24"/>
      <x:c r="F180" s="24"/>
      <x:c r="S180" s="24"/>
      <x:c r="U180" s="26"/>
    </x:row>
    <x:row r="181">
      <x:c r="E181" s="24"/>
      <x:c r="F181" s="24"/>
      <x:c r="S181" s="24"/>
      <x:c r="U181" s="26"/>
    </x:row>
    <x:row r="182">
      <x:c r="E182" s="24"/>
      <x:c r="F182" s="24"/>
      <x:c r="S182" s="24"/>
      <x:c r="U182" s="26"/>
    </x:row>
    <x:row r="183">
      <x:c r="E183" s="24"/>
      <x:c r="F183" s="24"/>
      <x:c r="S183" s="24"/>
      <x:c r="U183" s="26"/>
    </x:row>
    <x:row r="184">
      <x:c r="E184" s="24"/>
      <x:c r="F184" s="24"/>
      <x:c r="S184" s="24"/>
      <x:c r="U184" s="26"/>
    </x:row>
    <x:row r="185">
      <x:c r="E185" s="24"/>
      <x:c r="F185" s="24"/>
      <x:c r="S185" s="24"/>
      <x:c r="U185" s="26"/>
    </x:row>
    <x:row r="186">
      <x:c r="E186" s="24"/>
      <x:c r="F186" s="24"/>
      <x:c r="S186" s="24"/>
      <x:c r="U186" s="26"/>
    </x:row>
    <x:row r="187">
      <x:c r="E187" s="24"/>
      <x:c r="F187" s="24"/>
      <x:c r="S187" s="24"/>
      <x:c r="U187" s="26"/>
    </x:row>
    <x:row r="188">
      <x:c r="E188" s="24"/>
      <x:c r="F188" s="24"/>
      <x:c r="S188" s="24"/>
      <x:c r="U188" s="26"/>
    </x:row>
    <x:row r="189">
      <x:c r="E189" s="24"/>
      <x:c r="F189" s="24"/>
      <x:c r="S189" s="24"/>
      <x:c r="U189" s="26"/>
    </x:row>
    <x:row r="190">
      <x:c r="E190" s="24"/>
      <x:c r="F190" s="24"/>
      <x:c r="S190" s="24"/>
      <x:c r="U190" s="26"/>
    </x:row>
    <x:row r="191">
      <x:c r="E191" s="24"/>
      <x:c r="F191" s="24"/>
      <x:c r="S191" s="24"/>
      <x:c r="U191" s="26"/>
    </x:row>
    <x:row r="192">
      <x:c r="E192" s="24"/>
      <x:c r="F192" s="24"/>
      <x:c r="S192" s="24"/>
      <x:c r="U192" s="26"/>
    </x:row>
    <x:row r="193">
      <x:c r="E193" s="24"/>
      <x:c r="F193" s="24"/>
      <x:c r="S193" s="24"/>
      <x:c r="U193" s="26"/>
    </x:row>
    <x:row r="194">
      <x:c r="E194" s="24"/>
      <x:c r="F194" s="24"/>
      <x:c r="S194" s="24"/>
      <x:c r="U194" s="26"/>
    </x:row>
    <x:row r="195">
      <x:c r="E195" s="24"/>
      <x:c r="F195" s="24"/>
      <x:c r="S195" s="24"/>
      <x:c r="U195" s="26"/>
    </x:row>
    <x:row r="196">
      <x:c r="E196" s="24"/>
      <x:c r="F196" s="24"/>
      <x:c r="S196" s="24"/>
      <x:c r="U196" s="26"/>
    </x:row>
    <x:row r="197">
      <x:c r="E197" s="24"/>
      <x:c r="F197" s="24"/>
      <x:c r="S197" s="24"/>
      <x:c r="U197" s="26"/>
    </x:row>
    <x:row r="198">
      <x:c r="E198" s="24"/>
      <x:c r="F198" s="24"/>
      <x:c r="S198" s="24"/>
      <x:c r="U198" s="26"/>
    </x:row>
    <x:row r="199">
      <x:c r="E199" s="24"/>
      <x:c r="F199" s="24"/>
      <x:c r="S199" s="24"/>
      <x:c r="U199" s="26"/>
    </x:row>
    <x:row r="200">
      <x:c r="E200" s="24"/>
      <x:c r="F200" s="24"/>
      <x:c r="S200" s="24"/>
      <x:c r="U200" s="26"/>
    </x:row>
  </x:sheetData>
  <x:dataValidations count="7">
    <x:dataValidation type="list" sqref="B2:B200">
      <x:formula1>"프로젝트,교과,동아리,전문가강좌,캠프,봉사활동,학과역량,이전경험"</x:formula1>
    </x:dataValidation>
    <x:dataValidation type="list" sqref="D2:D200">
      <x:formula1>"완료,진행중,예정확정,반복운영,확인필요"</x:formula1>
    </x:dataValidation>
    <x:dataValidation type="list" sqref="K2:K200">
      <x:formula1>태그_목록!$A$4:$A$7</x:formula1>
    </x:dataValidation>
    <x:dataValidation type="date" operator="between" sqref="E2:F200">
      <x:formula1>DATE(2000,1,1)</x:formula1>
      <x:formula2>DATE(2100,12,31)</x:formula2>
    </x:dataValidation>
    <x:dataValidation type="date" operator="between" sqref="S2:S200">
      <x:formula1>DATE(2000,1,1)</x:formula1>
      <x:formula2>DATE(2100,12,31)</x:formula2>
    </x:dataValidation>
    <x:dataValidation type="custom" sqref="R2:R200">
      <x:formula1>AND(R2&lt;&gt;"",LEFT(R2,8)="https://",LEN(R2)&gt;8,ISNUMBER(FIND(".",LEFT(MID(R2,9,LEN(R2)-8),FIND("/",MID(R2,9,LEN(R2)-8)&amp;"/")-1))))</x:formula1>
    </x:dataValidation>
    <x:dataValidation type="list" sqref="U2:U200">
      <x:formula1>"1,2,3"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21128e5c0a4d7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2" hidden="0" customWidth="1"/>
  </x:cols>
  <x:sheetData>
    <x:row r="1" ht="30" customHeight="1">
      <x:c r="A1" s="30" t="str">
        <x:v>PHOTO:NEXT 프로젝트 입력 가이드</x:v>
      </x:c>
      <x:c r="B1" s="30"/>
      <x:c r="C1" s="30"/>
      <x:c r="D1" s="30"/>
      <x:c r="E1" s="30"/>
    </x:row>
    <x:row r="3">
      <x:c r="A3" s="33" t="str">
        <x:v>입력 원칙</x:v>
      </x:c>
      <x:c r="B3" s="34" t="str">
        <x:v>내용</x:v>
      </x:c>
      <x:c r="C3" s="34" t="str"/>
      <x:c r="D3" s="34" t="str"/>
      <x:c r="E3" s="35" t="str"/>
    </x:row>
    <x:row r="4" ht="32" customHeight="1">
      <x:c r="A4" s="39" t="str">
        <x:v>한 행 = 한 프로젝트</x:v>
      </x:c>
      <x:c r="B4" s="38" t="str">
        <x:v>한 프로젝트를 한 행에 입력합니다. 여러 태그·교수명·보조트랙은 세미콜론(;)으로 구분합니다.</x:v>
      </x:c>
      <x:c r="C4" s="38" t="str"/>
      <x:c r="D4" s="38" t="str"/>
      <x:c r="E4" s="38" t="str"/>
    </x:row>
    <x:row r="5" ht="32" customHeight="1">
      <x:c r="A5" s="39" t="str">
        <x:v>필수 열</x:v>
      </x:c>
      <x:c r="B5" s="38" t="str">
        <x:v>필수 열은 연한 파란색 헤더로 표시합니다.</x:v>
      </x:c>
      <x:c r="C5" s="38" t="str"/>
      <x:c r="D5" s="38" t="str"/>
      <x:c r="E5" s="38" t="str"/>
    </x:row>
    <x:row r="6" ht="32" customHeight="1">
      <x:c r="A6" s="39" t="str">
        <x:v>날짜</x:v>
      </x:c>
      <x:c r="B6" s="38" t="str">
        <x:v>시작일·종료일은 실제 행사 기간입니다. 출처확인일은 공식 게시물의 수정일 또는 검증일입니다.</x:v>
      </x:c>
      <x:c r="C6" s="38" t="str"/>
      <x:c r="D6" s="38" t="str"/>
      <x:c r="E6" s="38" t="str"/>
    </x:row>
    <x:row r="7" ht="32" customHeight="1">
      <x:c r="A7" s="39" t="str">
        <x:v>출처 URL</x:v>
      </x:c>
      <x:c r="B7" s="38" t="str">
        <x:v>공개 가능한 HTTPS 공식 페이지 주소를 입력합니다.</x:v>
      </x:c>
      <x:c r="C7" s="38" t="str"/>
      <x:c r="D7" s="38" t="str"/>
      <x:c r="E7" s="38" t="str"/>
    </x:row>
    <x:row r="8" ht="32" customHeight="1">
      <x:c r="A8" s="39" t="str">
        <x:v>태그</x:v>
      </x:c>
      <x:c r="B8" s="38" t="str">
        <x:v>대표트랙은 정확히 하나, 관심태그는 태그_목록의 키를 사용합니다. 한 행 안의 태그는 중복하지 않습니다.</x:v>
      </x:c>
      <x:c r="C8" s="38" t="str"/>
      <x:c r="D8" s="38" t="str"/>
      <x:c r="E8" s="38" t="str"/>
    </x:row>
    <x:row r="10">
      <x:c r="A10" s="42" t="str">
        <x:v>입력 진행상태</x:v>
      </x:c>
      <x:c r="B10" s="42" t="str">
        <x:v>DB 상태</x:v>
      </x:c>
      <x:c r="C10" s="42" t="str">
        <x:v>근거 상태</x:v>
      </x:c>
      <x:c r="D10" s="42" t="str">
        <x:v>공개 범위</x:v>
      </x:c>
    </x:row>
    <x:row r="11">
      <x:c r="A11" s="36" t="str">
        <x:v>완료</x:v>
      </x:c>
      <x:c r="B11" s="36" t="str">
        <x:v>active</x:v>
      </x:c>
      <x:c r="C11" s="36" t="str">
        <x:v>historical</x:v>
      </x:c>
      <x:c r="D11" s="36" t="str">
        <x:v>public</x:v>
      </x:c>
    </x:row>
    <x:row r="12">
      <x:c r="A12" s="36" t="str">
        <x:v>진행중</x:v>
      </x:c>
      <x:c r="B12" s="36" t="str">
        <x:v>active</x:v>
      </x:c>
      <x:c r="C12" s="36" t="str">
        <x:v>snapshot</x:v>
      </x:c>
      <x:c r="D12" s="36" t="str">
        <x:v>public</x:v>
      </x:c>
    </x:row>
    <x:row r="13">
      <x:c r="A13" s="36" t="str">
        <x:v>예정확정</x:v>
      </x:c>
      <x:c r="B13" s="36" t="str">
        <x:v>해당 연도 active / 다음 학년 next_year_confirmed</x:v>
      </x:c>
      <x:c r="C13" s="36" t="str">
        <x:v>snapshot</x:v>
      </x:c>
      <x:c r="D13" s="36" t="str">
        <x:v>public</x:v>
      </x:c>
    </x:row>
    <x:row r="14">
      <x:c r="A14" s="36" t="str">
        <x:v>반복운영</x:v>
      </x:c>
      <x:c r="B14" s="36" t="str">
        <x:v>active</x:v>
      </x:c>
      <x:c r="C14" s="36" t="str">
        <x:v>recurring</x:v>
      </x:c>
      <x:c r="D14" s="36" t="str">
        <x:v>public</x:v>
      </x:c>
    </x:row>
    <x:row r="15">
      <x:c r="A15" s="36" t="str">
        <x:v>확인필요</x:v>
      </x:c>
      <x:c r="B15" s="36" t="str">
        <x:v>draft</x:v>
      </x:c>
      <x:c r="C15" s="36" t="str">
        <x:v>verify_required</x:v>
      </x:c>
      <x:c r="D15" s="36" t="str">
        <x:v>admin_only</x:v>
      </x:c>
    </x:row>
    <x:row r="17" ht="40" customHeight="1">
      <x:c r="A17" s="50" t="str">
        <x:v>검수 흐름</x:v>
      </x:c>
      <x:c r="B17" s="48" t="str">
        <x:v>프로젝트키·필수값·날짜·URL·태그 중복을 확인한 뒤, 진행상태 변환과 요약문 검수를 거쳐 공개합니다.</x:v>
      </x:c>
      <x:c r="C17" s="48" t="str"/>
      <x:c r="D17" s="48" t="str"/>
      <x:c r="E17" s="49" t="str"/>
    </x:row>
    <x:row r="20">
      <x:c r="A20" s="67" t="str">
        <x:v>연도별 화면 노출 규칙</x:v>
      </x:c>
      <x:c r="B20" s="67"/>
      <x:c r="C20" s="67"/>
      <x:c r="D20" s="67"/>
    </x:row>
    <x:row r="21">
      <x:c r="A21" s="109" t="str">
        <x:v>2026</x:v>
      </x:c>
      <x:c r="B21" s="81" t="str">
        <x:v>현재_우선</x:v>
      </x:c>
      <x:c r="C21" s="81" t="str">
        <x:v>메인프로젝트</x:v>
      </x:c>
      <x:c r="D21" s="81" t="str">
        <x:v>관심사에 맞는 최대 3개</x:v>
      </x:c>
    </x:row>
    <x:row r="22">
      <x:c r="A22" s="109" t="str">
        <x:v>2025</x:v>
      </x:c>
      <x:c r="B22" s="81" t="str">
        <x:v>최근_사례</x:v>
      </x:c>
      <x:c r="C22" s="81" t="str">
        <x:v>최근사례</x:v>
      </x:c>
      <x:c r="D22" s="81" t="str">
        <x:v>학과가 축적한 경험 카드 후보</x:v>
      </x:c>
    </x:row>
    <x:row r="23">
      <x:c r="A23" s="109" t="str">
        <x:v>2024 이전</x:v>
      </x:c>
      <x:c r="B23" s="81" t="str">
        <x:v>축적_경험</x:v>
      </x:c>
      <x:c r="C23" s="81" t="str">
        <x:v>짧은경험</x:v>
      </x:c>
      <x:c r="D23" s="81" t="str">
        <x:v>학과가 축적한 경험 카드 후보</x:v>
      </x:c>
    </x:row>
  </x:sheetData>
  <x:mergeCells>
    <x:mergeCell ref="A1:E1"/>
    <x:mergeCell ref="B3:E3"/>
    <x:mergeCell ref="B4:E4"/>
    <x:mergeCell ref="B5:E5"/>
    <x:mergeCell ref="B6:E6"/>
    <x:mergeCell ref="B7:E7"/>
    <x:mergeCell ref="B8:E8"/>
    <x:mergeCell ref="B17:E17"/>
    <x:mergeCell ref="A20:D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2" hidden="0" customWidth="1"/>
  </x:cols>
  <x:sheetData>
    <x:row r="1" ht="30" customHeight="1">
      <x:c r="A1" s="29" t="str">
        <x:v>PHOTO:NEXT 대표트랙 및 설문 관심태그</x:v>
      </x:c>
      <x:c r="B1" s="29"/>
      <x:c r="C1" s="29"/>
    </x:row>
    <x:row r="3">
      <x:c r="A3" s="52" t="str">
        <x:v>대표트랙 키</x:v>
      </x:c>
      <x:c r="B3" s="52" t="str">
        <x:v>한국어 의미</x:v>
      </x:c>
    </x:row>
    <x:row r="4">
      <x:c r="A4" s="36" t="str">
        <x:v>documentary</x:v>
      </x:c>
      <x:c r="B4" s="36" t="str">
        <x:v>다큐멘터리 사진</x:v>
      </x:c>
    </x:row>
    <x:row r="5">
      <x:c r="A5" s="36" t="str">
        <x:v>art_photo</x:v>
      </x:c>
      <x:c r="B5" s="36" t="str">
        <x:v>예술사진</x:v>
      </x:c>
    </x:row>
    <x:row r="6">
      <x:c r="A6" s="36" t="str">
        <x:v>commercial</x:v>
      </x:c>
      <x:c r="B6" s="36" t="str">
        <x:v>광고사진</x:v>
      </x:c>
    </x:row>
    <x:row r="7">
      <x:c r="A7" s="36" t="str">
        <x:v>video</x:v>
      </x:c>
      <x:c r="B7" s="36" t="str">
        <x:v>영상과 기술</x:v>
      </x:c>
    </x:row>
    <x:row r="9">
      <x:c r="A9" s="52" t="str">
        <x:v>관심태그 키</x:v>
      </x:c>
      <x:c r="B9" s="52" t="str">
        <x:v>한국어 의미</x:v>
      </x:c>
      <x:c r="C9" s="52" t="str">
        <x:v>연결 설문 범주</x:v>
      </x:c>
    </x:row>
    <x:row r="10">
      <x:c r="A10" s="37" t="str">
        <x:v>art_photo</x:v>
      </x:c>
      <x:c r="B10" s="37" t="str">
        <x:v>예술사진</x:v>
      </x:c>
      <x:c r="C10" s="37" t="str">
        <x:v>활동 선호, 희망 결과물, 작업 방식, 진로 방향</x:v>
      </x:c>
    </x:row>
    <x:row r="11">
      <x:c r="A11" s="37" t="str">
        <x:v>brand</x:v>
      </x:c>
      <x:c r="B11" s="37" t="str">
        <x:v>브랜드</x:v>
      </x:c>
      <x:c r="C11" s="37" t="str">
        <x:v>활동 선호, 희망 결과물, 진로 방향</x:v>
      </x:c>
    </x:row>
    <x:row r="12">
      <x:c r="A12" s="37" t="str">
        <x:v>camera</x:v>
      </x:c>
      <x:c r="B12" s="37" t="str">
        <x:v>카메라</x:v>
      </x:c>
      <x:c r="C12" s="37" t="str">
        <x:v>활동 선호</x:v>
      </x:c>
    </x:row>
    <x:row r="13">
      <x:c r="A13" s="37" t="str">
        <x:v>cinematography</x:v>
      </x:c>
      <x:c r="B13" s="37" t="str">
        <x:v>영상촬영</x:v>
      </x:c>
      <x:c r="C13" s="37" t="str">
        <x:v>활동 선호, 희망 결과물</x:v>
      </x:c>
    </x:row>
    <x:row r="14">
      <x:c r="A14" s="37" t="str">
        <x:v>collaboration</x:v>
      </x:c>
      <x:c r="B14" s="37" t="str">
        <x:v>협업</x:v>
      </x:c>
      <x:c r="C14" s="37" t="str">
        <x:v>작업 방식</x:v>
      </x:c>
    </x:row>
    <x:row r="15">
      <x:c r="A15" s="37" t="str">
        <x:v>color_grading</x:v>
      </x:c>
      <x:c r="B15" s="37" t="str">
        <x:v>색보정</x:v>
      </x:c>
      <x:c r="C15" s="37" t="str">
        <x:v>활동 선호, 작업 방식</x:v>
      </x:c>
    </x:row>
    <x:row r="16">
      <x:c r="A16" s="37" t="str">
        <x:v>commercial</x:v>
      </x:c>
      <x:c r="B16" s="37" t="str">
        <x:v>광고사진</x:v>
      </x:c>
      <x:c r="C16" s="37" t="str">
        <x:v>활동 선호, 희망 결과물, 작업 방식, 진로 방향</x:v>
      </x:c>
    </x:row>
    <x:row r="17">
      <x:c r="A17" s="37" t="str">
        <x:v>content</x:v>
      </x:c>
      <x:c r="B17" s="37" t="str">
        <x:v>콘텐츠</x:v>
      </x:c>
      <x:c r="C17" s="37" t="str">
        <x:v>활동 선호</x:v>
      </x:c>
    </x:row>
    <x:row r="18">
      <x:c r="A18" s="37" t="str">
        <x:v>cultural_planning</x:v>
      </x:c>
      <x:c r="B18" s="37" t="str">
        <x:v>문화기획</x:v>
      </x:c>
      <x:c r="C18" s="37" t="str">
        <x:v>활동 선호, 희망 결과물, 진로 방향</x:v>
      </x:c>
    </x:row>
    <x:row r="19">
      <x:c r="A19" s="37" t="str">
        <x:v>daily_life</x:v>
      </x:c>
      <x:c r="B19" s="37" t="str">
        <x:v>일상</x:v>
      </x:c>
      <x:c r="C19" s="37" t="str">
        <x:v>활동 선호</x:v>
      </x:c>
    </x:row>
    <x:row r="20">
      <x:c r="A20" s="37" t="str">
        <x:v>digital_image</x:v>
      </x:c>
      <x:c r="B20" s="37" t="str">
        <x:v>디지털이미지</x:v>
      </x:c>
      <x:c r="C20" s="37" t="str">
        <x:v>작업 방식</x:v>
      </x:c>
    </x:row>
    <x:row r="21">
      <x:c r="A21" s="37" t="str">
        <x:v>documentary</x:v>
      </x:c>
      <x:c r="B21" s="37" t="str">
        <x:v>다큐멘터리</x:v>
      </x:c>
      <x:c r="C21" s="37" t="str">
        <x:v>활동 선호, 희망 결과물, 작업 방식, 진로 방향</x:v>
      </x:c>
    </x:row>
    <x:row r="22">
      <x:c r="A22" s="37" t="str">
        <x:v>editing</x:v>
      </x:c>
      <x:c r="B22" s="37" t="str">
        <x:v>편집</x:v>
      </x:c>
      <x:c r="C22" s="37" t="str">
        <x:v>활동 선호, 희망 결과물, 작업 방식</x:v>
      </x:c>
    </x:row>
    <x:row r="23">
      <x:c r="A23" s="37" t="str">
        <x:v>exhibition</x:v>
      </x:c>
      <x:c r="B23" s="37" t="str">
        <x:v>전시</x:v>
      </x:c>
      <x:c r="C23" s="37" t="str">
        <x:v>활동 선호, 희망 결과물</x:v>
      </x:c>
    </x:row>
    <x:row r="24">
      <x:c r="A24" s="37" t="str">
        <x:v>exploration</x:v>
      </x:c>
      <x:c r="B24" s="37" t="str">
        <x:v>탐색</x:v>
      </x:c>
      <x:c r="C24" s="37" t="str">
        <x:v>진로 방향</x:v>
      </x:c>
    </x:row>
    <x:row r="25">
      <x:c r="A25" s="37" t="str">
        <x:v>fashion</x:v>
      </x:c>
      <x:c r="B25" s="37" t="str">
        <x:v>패션</x:v>
      </x:c>
      <x:c r="C25" s="37" t="str">
        <x:v>활동 선호, 희망 결과물</x:v>
      </x:c>
    </x:row>
    <x:row r="26">
      <x:c r="A26" s="37" t="str">
        <x:v>field</x:v>
      </x:c>
      <x:c r="B26" s="37" t="str">
        <x:v>현장</x:v>
      </x:c>
      <x:c r="C26" s="37" t="str">
        <x:v>활동 선호, 희망 결과물, 작업 방식</x:v>
      </x:c>
    </x:row>
    <x:row r="27">
      <x:c r="A27" s="37" t="str">
        <x:v>freelance</x:v>
      </x:c>
      <x:c r="B27" s="37" t="str">
        <x:v>프리랜서</x:v>
      </x:c>
      <x:c r="C27" s="37" t="str">
        <x:v>진로 방향</x:v>
      </x:c>
    </x:row>
    <x:row r="28">
      <x:c r="A28" s="37" t="str">
        <x:v>installation</x:v>
      </x:c>
      <x:c r="B28" s="37" t="str">
        <x:v>설치작업</x:v>
      </x:c>
      <x:c r="C28" s="37" t="str">
        <x:v>활동 선호</x:v>
      </x:c>
    </x:row>
    <x:row r="29">
      <x:c r="A29" s="37" t="str">
        <x:v>interview</x:v>
      </x:c>
      <x:c r="B29" s="37" t="str">
        <x:v>인터뷰</x:v>
      </x:c>
      <x:c r="C29" s="37" t="str">
        <x:v>활동 선호, 희망 결과물, 작업 방식</x:v>
      </x:c>
    </x:row>
    <x:row r="30">
      <x:c r="A30" s="37" t="str">
        <x:v>landscape</x:v>
      </x:c>
      <x:c r="B30" s="37" t="str">
        <x:v>풍경</x:v>
      </x:c>
      <x:c r="C30" s="37" t="str">
        <x:v>활동 선호</x:v>
      </x:c>
    </x:row>
    <x:row r="31">
      <x:c r="A31" s="37" t="str">
        <x:v>lighting</x:v>
      </x:c>
      <x:c r="B31" s="37" t="str">
        <x:v>조명</x:v>
      </x:c>
      <x:c r="C31" s="37" t="str">
        <x:v>활동 선호, 작업 방식</x:v>
      </x:c>
    </x:row>
    <x:row r="32">
      <x:c r="A32" s="37" t="str">
        <x:v>local_culture</x:v>
      </x:c>
      <x:c r="B32" s="37" t="str">
        <x:v>지역문화</x:v>
      </x:c>
      <x:c r="C32" s="37" t="str">
        <x:v>활동 선호, 작업 방식, 진로 방향</x:v>
      </x:c>
    </x:row>
    <x:row r="33">
      <x:c r="A33" s="37" t="str">
        <x:v>media_art</x:v>
      </x:c>
      <x:c r="B33" s="37" t="str">
        <x:v>미디어아트</x:v>
      </x:c>
      <x:c r="C33" s="37" t="str">
        <x:v>활동 선호</x:v>
      </x:c>
    </x:row>
    <x:row r="34">
      <x:c r="A34" s="37" t="str">
        <x:v>music_video</x:v>
      </x:c>
      <x:c r="B34" s="37" t="str">
        <x:v>뮤직비디오</x:v>
      </x:c>
      <x:c r="C34" s="37" t="str">
        <x:v>활동 선호, 희망 결과물</x:v>
      </x:c>
    </x:row>
    <x:row r="35">
      <x:c r="A35" s="37" t="str">
        <x:v>oral_history</x:v>
      </x:c>
      <x:c r="B35" s="37" t="str">
        <x:v>구술기록</x:v>
      </x:c>
      <x:c r="C35" s="37" t="str">
        <x:v>작업 방식</x:v>
      </x:c>
    </x:row>
    <x:row r="36">
      <x:c r="A36" s="37" t="str">
        <x:v>people</x:v>
      </x:c>
      <x:c r="B36" s="37" t="str">
        <x:v>인물</x:v>
      </x:c>
      <x:c r="C36" s="37" t="str">
        <x:v>활동 선호, 작업 방식</x:v>
      </x:c>
    </x:row>
    <x:row r="37">
      <x:c r="A37" s="37" t="str">
        <x:v>photobook</x:v>
      </x:c>
      <x:c r="B37" s="37" t="str">
        <x:v>포토북</x:v>
      </x:c>
      <x:c r="C37" s="37" t="str">
        <x:v>활동 선호, 희망 결과물</x:v>
      </x:c>
    </x:row>
    <x:row r="38">
      <x:c r="A38" s="37" t="str">
        <x:v>photography</x:v>
      </x:c>
      <x:c r="B38" s="37" t="str">
        <x:v>사진</x:v>
      </x:c>
      <x:c r="C38" s="37" t="str">
        <x:v>활동 선호, 희망 결과물, 진로 방향</x:v>
      </x:c>
    </x:row>
    <x:row r="39">
      <x:c r="A39" s="37" t="str">
        <x:v>planning</x:v>
      </x:c>
      <x:c r="B39" s="37" t="str">
        <x:v>기획</x:v>
      </x:c>
      <x:c r="C39" s="37" t="str">
        <x:v>활동 선호, 희망 결과물, 진로 방향</x:v>
      </x:c>
    </x:row>
    <x:row r="40">
      <x:c r="A40" s="37" t="str">
        <x:v>portfolio</x:v>
      </x:c>
      <x:c r="B40" s="37" t="str">
        <x:v>포트폴리오</x:v>
      </x:c>
      <x:c r="C40" s="37" t="str">
        <x:v>활동 선호, 희망 결과물, 진로 방향</x:v>
      </x:c>
    </x:row>
    <x:row r="41">
      <x:c r="A41" s="37" t="str">
        <x:v>portrait</x:v>
      </x:c>
      <x:c r="B41" s="37" t="str">
        <x:v>인물사진</x:v>
      </x:c>
      <x:c r="C41" s="37" t="str">
        <x:v>활동 선호, 작업 방식</x:v>
      </x:c>
    </x:row>
    <x:row r="42">
      <x:c r="A42" s="37" t="str">
        <x:v>post_production</x:v>
      </x:c>
      <x:c r="B42" s="37" t="str">
        <x:v>후반작업</x:v>
      </x:c>
      <x:c r="C42" s="37" t="str">
        <x:v>활동 선호, 작업 방식</x:v>
      </x:c>
    </x:row>
    <x:row r="43">
      <x:c r="A43" s="37" t="str">
        <x:v>product</x:v>
      </x:c>
      <x:c r="B43" s="37" t="str">
        <x:v>제품</x:v>
      </x:c>
      <x:c r="C43" s="37" t="str">
        <x:v>활동 선호</x:v>
      </x:c>
    </x:row>
    <x:row r="44">
      <x:c r="A44" s="37" t="str">
        <x:v>production</x:v>
      </x:c>
      <x:c r="B44" s="37" t="str">
        <x:v>제작</x:v>
      </x:c>
      <x:c r="C44" s="37" t="str">
        <x:v>작업 방식</x:v>
      </x:c>
    </x:row>
    <x:row r="45">
      <x:c r="A45" s="37" t="str">
        <x:v>project</x:v>
      </x:c>
      <x:c r="B45" s="37" t="str">
        <x:v>프로젝트</x:v>
      </x:c>
      <x:c r="C45" s="37" t="str">
        <x:v>활동 선호, 희망 결과물, 진로 방향</x:v>
      </x:c>
    </x:row>
    <x:row r="46">
      <x:c r="A46" s="37" t="str">
        <x:v>promotion</x:v>
      </x:c>
      <x:c r="B46" s="37" t="str">
        <x:v>홍보</x:v>
      </x:c>
      <x:c r="C46" s="37" t="str">
        <x:v>희망 결과물</x:v>
      </x:c>
    </x:row>
    <x:row r="47">
      <x:c r="A47" s="37" t="str">
        <x:v>proposal</x:v>
      </x:c>
      <x:c r="B47" s="37" t="str">
        <x:v>제안서</x:v>
      </x:c>
      <x:c r="C47" s="37" t="str">
        <x:v>희망 결과물</x:v>
      </x:c>
    </x:row>
    <x:row r="48">
      <x:c r="A48" s="37" t="str">
        <x:v>public_content</x:v>
      </x:c>
      <x:c r="B48" s="37" t="str">
        <x:v>공공콘텐츠</x:v>
      </x:c>
      <x:c r="C48" s="37" t="str">
        <x:v>활동 선호</x:v>
      </x:c>
    </x:row>
    <x:row r="49">
      <x:c r="A49" s="37" t="str">
        <x:v>research</x:v>
      </x:c>
      <x:c r="B49" s="37" t="str">
        <x:v>리서치</x:v>
      </x:c>
      <x:c r="C49" s="37" t="str">
        <x:v>작업 방식</x:v>
      </x:c>
    </x:row>
    <x:row r="50">
      <x:c r="A50" s="37" t="str">
        <x:v>scene</x:v>
      </x:c>
      <x:c r="B50" s="37" t="str">
        <x:v>장면</x:v>
      </x:c>
      <x:c r="C50" s="37" t="str">
        <x:v>활동 선호</x:v>
      </x:c>
    </x:row>
    <x:row r="51">
      <x:c r="A51" s="37" t="str">
        <x:v>sequencing</x:v>
      </x:c>
      <x:c r="B51" s="37" t="str">
        <x:v>시퀀싱</x:v>
      </x:c>
      <x:c r="C51" s="37" t="str">
        <x:v>활동 선호, 희망 결과물</x:v>
      </x:c>
    </x:row>
    <x:row r="52">
      <x:c r="A52" s="37" t="str">
        <x:v>shortform</x:v>
      </x:c>
      <x:c r="B52" s="37" t="str">
        <x:v>숏폼</x:v>
      </x:c>
      <x:c r="C52" s="37" t="str">
        <x:v>활동 선호, 희망 결과물, 진로 방향</x:v>
      </x:c>
    </x:row>
    <x:row r="53">
      <x:c r="A53" s="37" t="str">
        <x:v>showreel</x:v>
      </x:c>
      <x:c r="B53" s="37" t="str">
        <x:v>쇼릴</x:v>
      </x:c>
      <x:c r="C53" s="37" t="str">
        <x:v>희망 결과물, 진로 방향</x:v>
      </x:c>
    </x:row>
    <x:row r="54">
      <x:c r="A54" s="37" t="str">
        <x:v>solo</x:v>
      </x:c>
      <x:c r="B54" s="37" t="str">
        <x:v>개인작업</x:v>
      </x:c>
      <x:c r="C54" s="37" t="str">
        <x:v>작업 방식</x:v>
      </x:c>
    </x:row>
    <x:row r="55">
      <x:c r="A55" s="37" t="str">
        <x:v>storytelling</x:v>
      </x:c>
      <x:c r="B55" s="37" t="str">
        <x:v>스토리텔링</x:v>
      </x:c>
      <x:c r="C55" s="37" t="str">
        <x:v>활동 선호, 희망 결과물</x:v>
      </x:c>
    </x:row>
    <x:row r="56">
      <x:c r="A56" s="37" t="str">
        <x:v>studio</x:v>
      </x:c>
      <x:c r="B56" s="37" t="str">
        <x:v>스튜디오</x:v>
      </x:c>
      <x:c r="C56" s="37" t="str">
        <x:v>활동 선호, 희망 결과물, 작업 방식</x:v>
      </x:c>
    </x:row>
    <x:row r="57">
      <x:c r="A57" s="37" t="str">
        <x:v>team</x:v>
      </x:c>
      <x:c r="B57" s="37" t="str">
        <x:v>팀작업</x:v>
      </x:c>
      <x:c r="C57" s="37" t="str">
        <x:v>작업 방식</x:v>
      </x:c>
    </x:row>
    <x:row r="58">
      <x:c r="A58" s="37" t="str">
        <x:v>video</x:v>
      </x:c>
      <x:c r="B58" s="37" t="str">
        <x:v>영상</x:v>
      </x:c>
      <x:c r="C58" s="37" t="str">
        <x:v>활동 선호, 희망 결과물, 작업 방식, 진로 방향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44" hidden="0" customWidth="1"/>
  </x:cols>
  <x:sheetData>
    <x:row r="1" ht="30" customHeight="1">
      <x:c r="A1" s="100" t="str">
        <x:v>PHOTO:NEXT 프로젝트 노출 요약</x:v>
      </x:c>
      <x:c r="B1" s="100"/>
      <x:c r="C1" s="100"/>
      <x:c r="D1" s="100"/>
      <x:c r="E1" s="100"/>
    </x:row>
    <x:row r="3">
      <x:c r="A3" s="103" t="str">
        <x:v>구분</x:v>
      </x:c>
      <x:c r="B3" s="103" t="str">
        <x:v>건수</x:v>
      </x:c>
      <x:c r="C3" s="103" t="str">
        <x:v>화면 역할</x:v>
      </x:c>
    </x:row>
    <x:row r="4">
      <x:c r="A4" s="104" t="str">
        <x:v>2026 현재 우선</x:v>
      </x:c>
      <x:c r="B4" s="101" t="n">
        <x:f>COUNTIF('프로젝트_통합'!$W$2:$W$44,"현재_우선")</x:f>
        <x:v>13</x:v>
      </x:c>
      <x:c r="C4" s="101" t="str">
        <x:v>관심사에 맞는 메인 프로젝트 최대 3개</x:v>
      </x:c>
    </x:row>
    <x:row r="5">
      <x:c r="A5" s="104" t="str">
        <x:v>2025 최근 사례</x:v>
      </x:c>
      <x:c r="B5" s="101" t="n">
        <x:f>COUNTIF('프로젝트_통합'!$W$2:$W$44,"최근_사례")</x:f>
        <x:v>16</x:v>
      </x:c>
      <x:c r="C5" s="101" t="str">
        <x:v>학과가 축적한 경험 카드 후보</x:v>
      </x:c>
    </x:row>
    <x:row r="6">
      <x:c r="A6" s="104" t="str">
        <x:v>2024 이전 경험</x:v>
      </x:c>
      <x:c r="B6" s="101" t="n">
        <x:f>COUNTIF('프로젝트_통합'!$W$2:$W$44,"축적_경험")</x:f>
        <x:v>14</x:v>
      </x:c>
      <x:c r="C6" s="101" t="str">
        <x:v>학과가 축적한 경험 카드 후보</x:v>
      </x:c>
    </x:row>
    <x:row r="8" ht="28" customHeight="1">
      <x:c r="A8" s="107" t="str">
        <x:v>2026 프로그램은 수요조사 근거를 기준으로 표시하며, 실제 운영 일정은 학과 확인이 필요합니다.</x:v>
      </x:c>
      <x:c r="B8" s="107"/>
      <x:c r="C8" s="107"/>
      <x:c r="D8" s="107"/>
      <x:c r="E8" s="107"/>
    </x:row>
  </x:sheetData>
  <x:mergeCells>
    <x:mergeCell ref="A1:E1"/>
    <x:mergeCell ref="A8:E8"/>
  </x:mergeCells>
  <x:pageMargins left="0.7" right="0.7" top="0.75" bottom="0.75" header="0.3" footer="0.3"/>
</x:worksheet>
</file>